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lobal Simulation Parameters" sheetId="1" state="visible" r:id="rId2"/>
    <sheet name="Facilities" sheetId="2" state="visible" r:id="rId3"/>
    <sheet name="Source" sheetId="3" state="visible" r:id="rId4"/>
    <sheet name="Compressors" sheetId="4" state="visible" r:id="rId5"/>
    <sheet name="Probes" sheetId="5" state="visible" r:id="rId6"/>
    <sheet name="FFLinks" sheetId="6" state="visible" r:id="rId7"/>
    <sheet name="Debug" sheetId="7" state="visible" r:id="rId8"/>
    <sheet name="Master Equipment" sheetId="8" state="visible" r:id="rId9"/>
    <sheet name="MAll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<sst xmlns="http://schemas.openxmlformats.org/spreadsheetml/2006/main" count="215" uniqueCount="123">
  <si>
    <t xml:space="preserve">Simulation Start Date</t>
  </si>
  <si>
    <t xml:space="preserve">1/1/2021</t>
  </si>
  <si>
    <t xml:space="preserve">Simulation Duration [Days]</t>
  </si>
  <si>
    <t xml:space="preserve">Number of Monte Carlo Iterations</t>
  </si>
  <si>
    <t xml:space="preserve">Output Directory Template</t>
  </si>
  <si>
    <t xml:space="preserve">Activity / Emission Factor Name</t>
  </si>
  <si>
    <t xml:space="preserve">Facility ID</t>
  </si>
  <si>
    <t xml:space="preserve">Latitude</t>
  </si>
  <si>
    <t xml:space="preserve">Longitude</t>
  </si>
  <si>
    <t xml:space="preserve">Leak Gas Composition</t>
  </si>
  <si>
    <t xml:space="preserve">Model ID</t>
  </si>
  <si>
    <t xml:space="preserve">facility_test</t>
  </si>
  <si>
    <t xml:space="preserve">input/Studies/MEET2/TestCompositionsFF.csv</t>
  </si>
  <si>
    <t xml:space="preserve">Facility.json</t>
  </si>
  <si>
    <t xml:space="preserve">Unit ID</t>
  </si>
  <si>
    <t xml:space="preserve">Oil Production [bbl/day]</t>
  </si>
  <si>
    <t xml:space="preserve">Water Production [bbl/day]</t>
  </si>
  <si>
    <t xml:space="preserve">Gas Production [Mscf/day]</t>
  </si>
  <si>
    <t xml:space="preserve">Flow Tag</t>
  </si>
  <si>
    <t xml:space="preserve">Flow Gas Composition</t>
  </si>
  <si>
    <t xml:space="preserve">FixedSource.json</t>
  </si>
  <si>
    <t xml:space="preserve">W1</t>
  </si>
  <si>
    <t xml:space="preserve">Well</t>
  </si>
  <si>
    <t xml:space="preserve">Component Leak Survey Frequency [days]</t>
  </si>
  <si>
    <t xml:space="preserve">Component Count</t>
  </si>
  <si>
    <t xml:space="preserve">Component pLeak</t>
  </si>
  <si>
    <t xml:space="preserve">Compressor Power [kW]</t>
  </si>
  <si>
    <t xml:space="preserve">Actuator Type [Gas, Electric, Air]</t>
  </si>
  <si>
    <t xml:space="preserve">Driver Type [Turbine, 4SLB, 2SLB, 4SRB, Electric]</t>
  </si>
  <si>
    <t xml:space="preserve">Engine Efficiency</t>
  </si>
  <si>
    <t xml:space="preserve">Exhaust Factors</t>
  </si>
  <si>
    <t xml:space="preserve">Compressor Type [Centrifugal, Reciprocating, Other]</t>
  </si>
  <si>
    <t xml:space="preserve">Seal Type [Dry, Wet, Rod Packing]</t>
  </si>
  <si>
    <t xml:space="preserve">Starter Type [Gas, Electric, Air]</t>
  </si>
  <si>
    <t xml:space="preserve">Average Loading</t>
  </si>
  <si>
    <t xml:space="preserve">Std Loading</t>
  </si>
  <si>
    <t xml:space="preserve">Operating Fraction</t>
  </si>
  <si>
    <t xml:space="preserve">NOP Fraction of NOP/NOD</t>
  </si>
  <si>
    <t xml:space="preserve">Total Duration Lower Limit [hours]</t>
  </si>
  <si>
    <t xml:space="preserve">Total Duration Upper Limit [hours]</t>
  </si>
  <si>
    <t xml:space="preserve">Starter Event Emission Duration [s]</t>
  </si>
  <si>
    <t xml:space="preserve">Starter Event Emission Volume [SCF]</t>
  </si>
  <si>
    <t xml:space="preserve">Blowdown Event Duration [s]</t>
  </si>
  <si>
    <t xml:space="preserve">Blowdown Event Emission Volume [SCF]</t>
  </si>
  <si>
    <t xml:space="preserve">Blowdown Vent Component Count</t>
  </si>
  <si>
    <t xml:space="preserve">Blowdown Vent MTTRMin</t>
  </si>
  <si>
    <t xml:space="preserve">Blowdown Vent MTTRMax</t>
  </si>
  <si>
    <t xml:space="preserve">Blowdown Vent pLeak</t>
  </si>
  <si>
    <t xml:space="preserve">Single Unit Vents</t>
  </si>
  <si>
    <t xml:space="preserve">Common Single-Unit Vent Component Count</t>
  </si>
  <si>
    <t xml:space="preserve">Common Single-Unit Vent MTTR Min</t>
  </si>
  <si>
    <t xml:space="preserve">Common Single-Unit Vent MTTR Max</t>
  </si>
  <si>
    <t xml:space="preserve">Common Single-Unit Vent pLeak</t>
  </si>
  <si>
    <t xml:space="preserve">Seal Vent Component Count</t>
  </si>
  <si>
    <t xml:space="preserve">Seal Vent MTTR Min</t>
  </si>
  <si>
    <t xml:space="preserve">Seal Vent MTTR Max</t>
  </si>
  <si>
    <t xml:space="preserve">Seal Vent pLeak</t>
  </si>
  <si>
    <t xml:space="preserve">Seal Vent(Large Emitter) Component Count</t>
  </si>
  <si>
    <t xml:space="preserve">Seal Vent(Large Emitter) MTTR Min</t>
  </si>
  <si>
    <t xml:space="preserve">Seal Vent(Large Emitter) MTTR Max</t>
  </si>
  <si>
    <t xml:space="preserve">Seal Vent(Large Emitter) pLeak</t>
  </si>
  <si>
    <t xml:space="preserve">Compressor Starter Vent Component Count</t>
  </si>
  <si>
    <t xml:space="preserve">Compressor Starter Vent MTTR Min</t>
  </si>
  <si>
    <t xml:space="preserve">Compressor Starter Vent MTTR Max</t>
  </si>
  <si>
    <t xml:space="preserve">Compressor Starter Vent pLeak</t>
  </si>
  <si>
    <t xml:space="preserve">Common Single-unit Vent(Large Emitter) Component Count</t>
  </si>
  <si>
    <t xml:space="preserve">Common Single-unit Vent(Large Emitter) MTTR Min</t>
  </si>
  <si>
    <t xml:space="preserve">Common Single-unit Vent(Large Emitter) MTTR Max</t>
  </si>
  <si>
    <t xml:space="preserve">Common Single-unit Vent(Large Emitter) pLeak</t>
  </si>
  <si>
    <t xml:space="preserve">Leak GC Name</t>
  </si>
  <si>
    <t xml:space="preserve">Combustion GC Name</t>
  </si>
  <si>
    <t xml:space="preserve">Factor Tag</t>
  </si>
  <si>
    <t xml:space="preserve">illegal_001</t>
  </si>
  <si>
    <t xml:space="preserve">Gas</t>
  </si>
  <si>
    <t xml:space="preserve">Turbine</t>
  </si>
  <si>
    <t xml:space="preserve">DestEffWithConstruction</t>
  </si>
  <si>
    <t xml:space="preserve">Centrifugal</t>
  </si>
  <si>
    <t xml:space="preserve">Dry</t>
  </si>
  <si>
    <t xml:space="preserve">Compressor.json</t>
  </si>
  <si>
    <t xml:space="preserve">Default-LeakGc</t>
  </si>
  <si>
    <t xml:space="preserve">ts_compressor</t>
  </si>
  <si>
    <t xml:space="preserve">illegal_002</t>
  </si>
  <si>
    <t xml:space="preserve">Electric</t>
  </si>
  <si>
    <t xml:space="preserve">4SLB</t>
  </si>
  <si>
    <t xml:space="preserve">Other</t>
  </si>
  <si>
    <t xml:space="preserve">Wet</t>
  </si>
  <si>
    <t xml:space="preserve">Test-LeakGc</t>
  </si>
  <si>
    <t xml:space="preserve">illegal_003</t>
  </si>
  <si>
    <t xml:space="preserve">Air</t>
  </si>
  <si>
    <t xml:space="preserve">2SLB</t>
  </si>
  <si>
    <t xml:space="preserve">Reciprocating</t>
  </si>
  <si>
    <t xml:space="preserve">Rod Packing</t>
  </si>
  <si>
    <t xml:space="preserve">Test1-LeakGc</t>
  </si>
  <si>
    <t xml:space="preserve">Probe.json</t>
  </si>
  <si>
    <t xml:space="preserve">probe1</t>
  </si>
  <si>
    <t xml:space="preserve">Outlet FacilityID</t>
  </si>
  <si>
    <t xml:space="preserve">Outlet UnitID</t>
  </si>
  <si>
    <t xml:space="preserve">Inlet FacilityID</t>
  </si>
  <si>
    <t xml:space="preserve">Inlet UnitID</t>
  </si>
  <si>
    <t xml:space="preserve">Flow Name</t>
  </si>
  <si>
    <t xml:space="preserve">Flow SecondaryID</t>
  </si>
  <si>
    <t xml:space="preserve">FFLink.json</t>
  </si>
  <si>
    <t xml:space="preserve">Vapor</t>
  </si>
  <si>
    <t xml:space="preserve">DumpID</t>
  </si>
  <si>
    <t xml:space="preserve">Dump Time</t>
  </si>
  <si>
    <t xml:space="preserve">FFDumpService.json</t>
  </si>
  <si>
    <t xml:space="preserve">Readable Name</t>
  </si>
  <si>
    <t xml:space="preserve">Tab</t>
  </si>
  <si>
    <t xml:space="preserve">Facilities</t>
  </si>
  <si>
    <t xml:space="preserve">Source</t>
  </si>
  <si>
    <t xml:space="preserve">Compressors</t>
  </si>
  <si>
    <t xml:space="preserve">Probes</t>
  </si>
  <si>
    <t xml:space="preserve">FFLinks</t>
  </si>
  <si>
    <t xml:space="preserve">Debug</t>
  </si>
  <si>
    <t xml:space="preserve">Wells</t>
  </si>
  <si>
    <t xml:space="preserve">Common Headers</t>
  </si>
  <si>
    <t xml:space="preserve">Separators</t>
  </si>
  <si>
    <t xml:space="preserve">Dehydrators</t>
  </si>
  <si>
    <t xml:space="preserve">Yard Piping</t>
  </si>
  <si>
    <t xml:space="preserve">Tank Battery</t>
  </si>
  <si>
    <t xml:space="preserve">VRUs</t>
  </si>
  <si>
    <t xml:space="preserve">Flares</t>
  </si>
  <si>
    <t xml:space="preserve">Links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</si>
</sst>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0"/>
    <numFmt numFmtId="166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CC1DA"/>
        <bgColor rgb="FFB9CDE5"/>
      </patternFill>
    </fill>
    <fill>
      <patternFill patternType="solid">
        <fgColor rgb="FF92D050"/>
        <bgColor rgb="FF969696"/>
      </patternFill>
    </fill>
    <fill>
      <patternFill patternType="solid">
        <fgColor rgb="FFDCE6F2"/>
        <bgColor rgb="FFE6E0EC"/>
      </patternFill>
    </fill>
    <fill>
      <patternFill patternType="solid">
        <fgColor rgb="FFB3A2C7"/>
        <bgColor rgb="FF9999FF"/>
      </patternFill>
    </fill>
    <fill>
      <patternFill patternType="solid">
        <fgColor rgb="FFFDEADA"/>
        <bgColor rgb="FFE6E0EC"/>
      </patternFill>
    </fill>
    <fill>
      <patternFill patternType="solid">
        <fgColor rgb="FFB9CDE5"/>
        <bgColor rgb="FFCCC1DA"/>
      </patternFill>
    </fill>
    <fill>
      <patternFill patternType="solid">
        <fgColor rgb="FFD7E4BD"/>
        <bgColor rgb="FFDCE6F2"/>
      </patternFill>
    </fill>
    <fill>
      <patternFill patternType="solid">
        <fgColor rgb="FFE6E0EC"/>
        <bgColor rgb="FFDCE6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DEADA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B3A2C7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2" min="2" style="1" width="58.8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365</v>
      </c>
    </row>
    <row r="3" customFormat="false" ht="15" hidden="false" customHeight="false" outlineLevel="0" collapsed="false">
      <c r="A3" s="1" t="s">
        <v>3</v>
      </c>
      <c r="B3" s="1" t="n">
        <v>2</v>
      </c>
    </row>
    <row r="4" customFormat="false" ht="15" hidden="false" customHeight="false" outlineLevel="0" collapsed="false">
      <c r="A4" s="1" t="s">
        <v>4</v>
      </c>
    </row>
    <row r="5" customFormat="false" ht="15" hidden="false" customHeight="false" outlineLevel="0" collapsed="false">
      <c r="A5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9.57"/>
    <col collapsed="false" customWidth="true" hidden="false" outlineLevel="0" max="3" min="3" style="1" width="9.86"/>
    <col collapsed="false" customWidth="true" hidden="false" outlineLevel="0" max="4" min="4" style="1" width="59.43"/>
    <col collapsed="false" customWidth="true" hidden="false" outlineLevel="0" max="5" min="5" style="1" width="11.57"/>
  </cols>
  <sheetData>
    <row r="1" s="3" customFormat="tru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customFormat="false" ht="15" hidden="false" customHeight="false" outlineLevel="0" collapsed="false">
      <c r="A2" s="1" t="s">
        <v>11</v>
      </c>
      <c r="B2" s="4" t="n">
        <v>0</v>
      </c>
      <c r="C2" s="4" t="n">
        <v>0</v>
      </c>
      <c r="D2" s="1" t="s">
        <v>12</v>
      </c>
      <c r="E2" s="1" t="s">
        <v>13</v>
      </c>
    </row>
    <row r="3" customFormat="false" ht="15" hidden="false" customHeight="false" outlineLevel="0" collapsed="false">
      <c r="B3" s="4"/>
    </row>
    <row r="4" customFormat="false" ht="15" hidden="false" customHeight="false" outlineLevel="0" collapsed="false">
      <c r="B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5.85937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16.86"/>
    <col collapsed="false" customWidth="true" hidden="false" outlineLevel="0" max="3" min="3" style="1" width="7.14"/>
    <col collapsed="false" customWidth="true" hidden="false" outlineLevel="0" max="4" min="4" style="1" width="8.43"/>
    <col collapsed="false" customWidth="true" hidden="false" outlineLevel="0" max="5" min="5" style="1" width="9.86"/>
    <col collapsed="false" customWidth="true" hidden="false" outlineLevel="0" max="6" min="6" style="1" width="13.86"/>
    <col collapsed="false" customWidth="true" hidden="false" outlineLevel="0" max="7" min="7" style="1" width="10.57"/>
    <col collapsed="false" customWidth="true" hidden="false" outlineLevel="0" max="8" min="8" style="1" width="14.57"/>
    <col collapsed="false" customWidth="true" hidden="false" outlineLevel="0" max="9" min="9" style="1" width="8.57"/>
    <col collapsed="false" customWidth="true" hidden="false" outlineLevel="0" max="10" min="10" style="1" width="59.43"/>
  </cols>
  <sheetData>
    <row r="1" s="8" customFormat="true" ht="60" hidden="false" customHeight="false" outlineLevel="0" collapsed="false">
      <c r="A1" s="5" t="s">
        <v>6</v>
      </c>
      <c r="B1" s="5" t="s">
        <v>10</v>
      </c>
      <c r="C1" s="5" t="s">
        <v>14</v>
      </c>
      <c r="D1" s="5" t="s">
        <v>7</v>
      </c>
      <c r="E1" s="5" t="s">
        <v>8</v>
      </c>
      <c r="F1" s="6" t="s">
        <v>15</v>
      </c>
      <c r="G1" s="6" t="s">
        <v>16</v>
      </c>
      <c r="H1" s="7" t="s">
        <v>17</v>
      </c>
      <c r="I1" s="5" t="s">
        <v>18</v>
      </c>
      <c r="J1" s="5" t="s">
        <v>19</v>
      </c>
    </row>
    <row r="2" customFormat="false" ht="15" hidden="false" customHeight="false" outlineLevel="0" collapsed="false">
      <c r="A2" s="1" t="s">
        <v>11</v>
      </c>
      <c r="B2" s="1" t="s">
        <v>20</v>
      </c>
      <c r="C2" s="1" t="s">
        <v>21</v>
      </c>
      <c r="D2" s="1" t="n">
        <v>0</v>
      </c>
      <c r="E2" s="1" t="n">
        <v>0</v>
      </c>
      <c r="F2" s="9" t="n">
        <v>24</v>
      </c>
      <c r="G2" s="9" t="n">
        <v>24</v>
      </c>
      <c r="H2" s="1" t="n">
        <v>500</v>
      </c>
      <c r="I2" s="1" t="s">
        <v>22</v>
      </c>
      <c r="J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39.5742187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9.86"/>
    <col collapsed="false" customWidth="true" hidden="false" outlineLevel="0" max="3" min="3" style="1" width="32.57"/>
    <col collapsed="false" customWidth="true" hidden="false" outlineLevel="0" max="5" min="4" style="1" width="17.43"/>
    <col collapsed="false" customWidth="true" hidden="false" outlineLevel="0" max="6" min="6" style="10" width="18"/>
    <col collapsed="false" customWidth="true" hidden="false" outlineLevel="0" max="7" min="7" style="1" width="13.43"/>
    <col collapsed="false" customWidth="true" hidden="false" outlineLevel="0" max="8" min="8" style="1" width="11.14"/>
    <col collapsed="false" customWidth="true" hidden="false" outlineLevel="0" max="9" min="9" style="1" width="14.72"/>
    <col collapsed="false" customWidth="true" hidden="false" outlineLevel="0" max="10" min="10" style="1" width="23.43"/>
    <col collapsed="false" customWidth="true" hidden="false" outlineLevel="0" max="11" min="11" style="1" width="11.76"/>
    <col collapsed="false" customWidth="true" hidden="false" outlineLevel="0" max="12" min="12" style="1" width="13.72"/>
    <col collapsed="false" customWidth="true" hidden="false" outlineLevel="0" max="13" min="13" style="1" width="11.57"/>
    <col collapsed="false" customWidth="true" hidden="false" outlineLevel="0" max="14" min="14" style="1" width="15.57"/>
    <col collapsed="false" customWidth="true" hidden="false" outlineLevel="0" max="15" min="15" style="1" width="11.14"/>
    <col collapsed="false" customWidth="true" hidden="false" outlineLevel="0" max="16" min="16" style="1" width="17.57"/>
    <col collapsed="false" customWidth="true" hidden="false" outlineLevel="0" max="17" min="17" style="1" width="15"/>
    <col collapsed="false" customWidth="true" hidden="false" outlineLevel="0" max="18" min="18" style="1" width="16"/>
    <col collapsed="false" customWidth="true" hidden="false" outlineLevel="0" max="19" min="19" style="1" width="15.43"/>
    <col collapsed="false" customWidth="true" hidden="false" outlineLevel="0" max="20" min="20" style="1" width="29.43"/>
    <col collapsed="false" customWidth="true" hidden="false" outlineLevel="0" max="21" min="21" style="1" width="28.57"/>
    <col collapsed="false" customWidth="true" hidden="false" outlineLevel="0" max="22" min="22" style="1" width="16"/>
    <col collapsed="false" customWidth="true" hidden="false" outlineLevel="0" max="24" min="23" style="1" width="32.43"/>
    <col collapsed="false" customWidth="true" hidden="false" outlineLevel="0" max="25" min="25" style="1" width="24.57"/>
    <col collapsed="false" customWidth="true" hidden="false" outlineLevel="0" max="26" min="26" style="1" width="24.86"/>
    <col collapsed="false" customWidth="true" hidden="false" outlineLevel="0" max="27" min="27" style="1" width="21"/>
    <col collapsed="false" customWidth="true" hidden="false" outlineLevel="0" max="28" min="28" style="1" width="16.43"/>
    <col collapsed="false" customWidth="true" hidden="false" outlineLevel="0" max="29" min="29" style="1" width="35.86"/>
    <col collapsed="false" customWidth="true" hidden="false" outlineLevel="0" max="30" min="30" style="1" width="34.43"/>
    <col collapsed="false" customWidth="true" hidden="false" outlineLevel="0" max="31" min="31" style="1" width="34.57"/>
    <col collapsed="false" customWidth="true" hidden="false" outlineLevel="0" max="32" min="32" style="1" width="30.43"/>
    <col collapsed="false" customWidth="true" hidden="false" outlineLevel="0" max="33" min="33" style="1" width="26.57"/>
    <col collapsed="false" customWidth="true" hidden="false" outlineLevel="0" max="34" min="34" style="1" width="19.14"/>
    <col collapsed="false" customWidth="true" hidden="false" outlineLevel="0" max="35" min="35" style="1" width="19.43"/>
    <col collapsed="false" customWidth="true" hidden="false" outlineLevel="0" max="36" min="36" style="1" width="15.14"/>
    <col collapsed="false" customWidth="true" hidden="false" outlineLevel="0" max="37" min="37" style="1" width="34.43"/>
    <col collapsed="false" customWidth="true" hidden="false" outlineLevel="0" max="38" min="38" style="1" width="32.57"/>
    <col collapsed="false" customWidth="true" hidden="false" outlineLevel="0" max="39" min="39" style="1" width="33"/>
    <col collapsed="false" customWidth="true" hidden="false" outlineLevel="0" max="40" min="40" style="1" width="28.57"/>
    <col collapsed="false" customWidth="true" hidden="false" outlineLevel="0" max="41" min="41" style="1" width="34.43"/>
    <col collapsed="false" customWidth="true" hidden="false" outlineLevel="0" max="42" min="42" style="1" width="32.86"/>
    <col collapsed="false" customWidth="true" hidden="false" outlineLevel="0" max="43" min="43" style="1" width="33.14"/>
    <col collapsed="false" customWidth="true" hidden="false" outlineLevel="0" max="44" min="44" style="1" width="28.86"/>
    <col collapsed="false" customWidth="true" hidden="false" outlineLevel="0" max="48" min="45" style="1" width="38"/>
    <col collapsed="false" customWidth="true" hidden="false" outlineLevel="0" max="49" min="49" style="1" width="16"/>
    <col collapsed="false" customWidth="true" hidden="false" outlineLevel="0" max="50" min="50" style="1" width="19.86"/>
    <col collapsed="false" customWidth="true" hidden="false" outlineLevel="0" max="51" min="51" style="1" width="20.57"/>
    <col collapsed="false" customWidth="true" hidden="false" outlineLevel="0" max="52" min="52" style="1" width="13.43"/>
  </cols>
  <sheetData>
    <row r="1" s="21" customFormat="true" ht="75" hidden="false" customHeight="false" outlineLevel="0" collapsed="false">
      <c r="A1" s="5" t="s">
        <v>6</v>
      </c>
      <c r="B1" s="5" t="s">
        <v>14</v>
      </c>
      <c r="C1" s="11" t="s">
        <v>23</v>
      </c>
      <c r="D1" s="11" t="s">
        <v>24</v>
      </c>
      <c r="E1" s="11" t="s">
        <v>25</v>
      </c>
      <c r="F1" s="5" t="s">
        <v>26</v>
      </c>
      <c r="G1" s="12" t="s">
        <v>27</v>
      </c>
      <c r="H1" s="13" t="s">
        <v>28</v>
      </c>
      <c r="I1" s="5" t="s">
        <v>29</v>
      </c>
      <c r="J1" s="5" t="s">
        <v>30</v>
      </c>
      <c r="K1" s="14" t="s">
        <v>31</v>
      </c>
      <c r="L1" s="6" t="s">
        <v>32</v>
      </c>
      <c r="M1" s="15" t="s">
        <v>33</v>
      </c>
      <c r="N1" s="13" t="s">
        <v>34</v>
      </c>
      <c r="O1" s="13" t="s">
        <v>35</v>
      </c>
      <c r="P1" s="5" t="s">
        <v>36</v>
      </c>
      <c r="Q1" s="5" t="s">
        <v>37</v>
      </c>
      <c r="R1" s="16" t="s">
        <v>38</v>
      </c>
      <c r="S1" s="16" t="s">
        <v>39</v>
      </c>
      <c r="T1" s="5" t="s">
        <v>40</v>
      </c>
      <c r="U1" s="5" t="s">
        <v>41</v>
      </c>
      <c r="V1" s="5" t="s">
        <v>42</v>
      </c>
      <c r="W1" s="5" t="s">
        <v>43</v>
      </c>
      <c r="X1" s="17" t="s">
        <v>44</v>
      </c>
      <c r="Y1" s="17" t="s">
        <v>45</v>
      </c>
      <c r="Z1" s="17" t="s">
        <v>46</v>
      </c>
      <c r="AA1" s="17" t="s">
        <v>47</v>
      </c>
      <c r="AB1" s="7" t="s">
        <v>48</v>
      </c>
      <c r="AC1" s="18" t="s">
        <v>49</v>
      </c>
      <c r="AD1" s="17" t="s">
        <v>50</v>
      </c>
      <c r="AE1" s="18" t="s">
        <v>51</v>
      </c>
      <c r="AF1" s="17" t="s">
        <v>52</v>
      </c>
      <c r="AG1" s="19" t="s">
        <v>53</v>
      </c>
      <c r="AH1" s="19" t="s">
        <v>54</v>
      </c>
      <c r="AI1" s="19" t="s">
        <v>55</v>
      </c>
      <c r="AJ1" s="19" t="s">
        <v>56</v>
      </c>
      <c r="AK1" s="17" t="s">
        <v>57</v>
      </c>
      <c r="AL1" s="17" t="s">
        <v>58</v>
      </c>
      <c r="AM1" s="17" t="s">
        <v>59</v>
      </c>
      <c r="AN1" s="17" t="s">
        <v>60</v>
      </c>
      <c r="AO1" s="20" t="s">
        <v>61</v>
      </c>
      <c r="AP1" s="20" t="s">
        <v>62</v>
      </c>
      <c r="AQ1" s="20" t="s">
        <v>63</v>
      </c>
      <c r="AR1" s="20" t="s">
        <v>64</v>
      </c>
      <c r="AS1" s="19" t="s">
        <v>65</v>
      </c>
      <c r="AT1" s="19" t="s">
        <v>66</v>
      </c>
      <c r="AU1" s="19" t="s">
        <v>67</v>
      </c>
      <c r="AV1" s="19" t="s">
        <v>68</v>
      </c>
      <c r="AW1" s="5" t="s">
        <v>10</v>
      </c>
      <c r="AX1" s="5" t="s">
        <v>69</v>
      </c>
      <c r="AY1" s="5" t="s">
        <v>70</v>
      </c>
      <c r="AZ1" s="5" t="s">
        <v>71</v>
      </c>
    </row>
    <row r="2" customFormat="false" ht="13.8" hidden="false" customHeight="false" outlineLevel="0" collapsed="false">
      <c r="A2" s="1" t="s">
        <v>11</v>
      </c>
      <c r="B2" s="22" t="s">
        <v>72</v>
      </c>
      <c r="C2" s="23" t="n">
        <v>365</v>
      </c>
      <c r="D2" s="23" t="n">
        <v>750</v>
      </c>
      <c r="E2" s="23" t="n">
        <v>1E-010</v>
      </c>
      <c r="F2" s="10" t="n">
        <v>1000</v>
      </c>
      <c r="G2" s="10" t="s">
        <v>73</v>
      </c>
      <c r="H2" s="1" t="s">
        <v>74</v>
      </c>
      <c r="I2" s="1" t="n">
        <v>0.35</v>
      </c>
      <c r="J2" s="1" t="s">
        <v>75</v>
      </c>
      <c r="K2" s="1" t="s">
        <v>76</v>
      </c>
      <c r="L2" s="10" t="s">
        <v>77</v>
      </c>
      <c r="M2" s="10" t="s">
        <v>73</v>
      </c>
      <c r="N2" s="1" t="n">
        <v>0.9</v>
      </c>
      <c r="O2" s="1" t="n">
        <v>0.05</v>
      </c>
      <c r="P2" s="1" t="n">
        <v>0.4</v>
      </c>
      <c r="Q2" s="1" t="n">
        <v>0.6</v>
      </c>
      <c r="R2" s="1" t="n">
        <f aca="false">24*21</f>
        <v>504</v>
      </c>
      <c r="S2" s="1" t="n">
        <f aca="false">24*7*6</f>
        <v>1008</v>
      </c>
      <c r="T2" s="1" t="n">
        <v>300</v>
      </c>
      <c r="U2" s="1" t="n">
        <v>500</v>
      </c>
      <c r="V2" s="1" t="n">
        <f aca="false">60*15</f>
        <v>900</v>
      </c>
      <c r="W2" s="1" t="n">
        <f aca="false">ROUND(150*600/14.7,0)</f>
        <v>6122</v>
      </c>
      <c r="X2" s="24" t="n">
        <v>1</v>
      </c>
      <c r="Y2" s="24" t="n">
        <v>0</v>
      </c>
      <c r="Z2" s="24" t="n">
        <v>4380</v>
      </c>
      <c r="AA2" s="24" t="n">
        <v>0.21635</v>
      </c>
      <c r="AB2" s="25" t="b">
        <f aca="false">TRUE()</f>
        <v>1</v>
      </c>
      <c r="AC2" s="24" t="n">
        <v>1</v>
      </c>
      <c r="AD2" s="24" t="n">
        <v>0</v>
      </c>
      <c r="AE2" s="24" t="n">
        <v>4380</v>
      </c>
      <c r="AF2" s="24" t="n">
        <v>0.083141</v>
      </c>
      <c r="AG2" s="26" t="n">
        <v>1</v>
      </c>
      <c r="AH2" s="26" t="n">
        <v>0</v>
      </c>
      <c r="AI2" s="26" t="n">
        <v>4380</v>
      </c>
      <c r="AJ2" s="26" t="n">
        <v>0.47816</v>
      </c>
      <c r="AK2" s="24" t="n">
        <v>1</v>
      </c>
      <c r="AL2" s="24" t="n">
        <v>0</v>
      </c>
      <c r="AM2" s="24" t="n">
        <v>2920</v>
      </c>
      <c r="AN2" s="24" t="n">
        <v>0.0026738</v>
      </c>
      <c r="AO2" s="27" t="n">
        <v>1</v>
      </c>
      <c r="AP2" s="27" t="n">
        <v>0</v>
      </c>
      <c r="AQ2" s="27" t="n">
        <v>4380</v>
      </c>
      <c r="AR2" s="27" t="n">
        <v>0.11268</v>
      </c>
      <c r="AS2" s="26" t="n">
        <v>1</v>
      </c>
      <c r="AT2" s="26" t="n">
        <v>0</v>
      </c>
      <c r="AU2" s="26" t="n">
        <v>2920</v>
      </c>
      <c r="AV2" s="26" t="n">
        <v>0.0027855</v>
      </c>
      <c r="AW2" s="1" t="s">
        <v>78</v>
      </c>
      <c r="AX2" s="1" t="s">
        <v>79</v>
      </c>
      <c r="AY2" s="1" t="s">
        <v>79</v>
      </c>
      <c r="AZ2" s="1" t="s">
        <v>80</v>
      </c>
    </row>
    <row r="3" customFormat="false" ht="13.8" hidden="false" customHeight="false" outlineLevel="0" collapsed="false">
      <c r="A3" s="1" t="s">
        <v>11</v>
      </c>
      <c r="B3" s="22" t="s">
        <v>81</v>
      </c>
      <c r="C3" s="23" t="n">
        <v>365</v>
      </c>
      <c r="D3" s="23" t="n">
        <v>750</v>
      </c>
      <c r="E3" s="23" t="n">
        <v>1E-010</v>
      </c>
      <c r="F3" s="10" t="n">
        <v>1000</v>
      </c>
      <c r="G3" s="10" t="s">
        <v>82</v>
      </c>
      <c r="H3" s="1" t="s">
        <v>83</v>
      </c>
      <c r="I3" s="1" t="n">
        <v>0.35</v>
      </c>
      <c r="J3" s="1" t="s">
        <v>75</v>
      </c>
      <c r="K3" s="1" t="s">
        <v>84</v>
      </c>
      <c r="L3" s="10" t="s">
        <v>85</v>
      </c>
      <c r="M3" s="10" t="s">
        <v>82</v>
      </c>
      <c r="N3" s="1" t="n">
        <v>0.9</v>
      </c>
      <c r="O3" s="1" t="n">
        <v>0.05</v>
      </c>
      <c r="P3" s="1" t="n">
        <v>0.4</v>
      </c>
      <c r="Q3" s="1" t="n">
        <v>0.6</v>
      </c>
      <c r="R3" s="1" t="n">
        <f aca="false">24*21</f>
        <v>504</v>
      </c>
      <c r="S3" s="1" t="n">
        <f aca="false">24*7*6</f>
        <v>1008</v>
      </c>
      <c r="T3" s="1" t="n">
        <v>300</v>
      </c>
      <c r="U3" s="1" t="n">
        <v>500</v>
      </c>
      <c r="V3" s="1" t="n">
        <f aca="false">60*15</f>
        <v>900</v>
      </c>
      <c r="W3" s="1" t="n">
        <f aca="false">ROUND(150*600/14.7,0)</f>
        <v>6122</v>
      </c>
      <c r="X3" s="24" t="n">
        <v>1</v>
      </c>
      <c r="Y3" s="24" t="n">
        <v>0</v>
      </c>
      <c r="Z3" s="24" t="n">
        <v>4380</v>
      </c>
      <c r="AA3" s="24" t="n">
        <v>0.21635</v>
      </c>
      <c r="AB3" s="25" t="b">
        <f aca="false">TRUE()</f>
        <v>1</v>
      </c>
      <c r="AC3" s="24" t="n">
        <v>1</v>
      </c>
      <c r="AD3" s="24" t="n">
        <v>0</v>
      </c>
      <c r="AE3" s="24" t="n">
        <v>4380</v>
      </c>
      <c r="AF3" s="24" t="n">
        <v>0.083141</v>
      </c>
      <c r="AG3" s="26" t="n">
        <v>1</v>
      </c>
      <c r="AH3" s="26" t="n">
        <v>0</v>
      </c>
      <c r="AI3" s="26" t="n">
        <v>4380</v>
      </c>
      <c r="AJ3" s="26" t="n">
        <v>0.47816</v>
      </c>
      <c r="AK3" s="24" t="n">
        <v>1</v>
      </c>
      <c r="AL3" s="24" t="n">
        <v>0</v>
      </c>
      <c r="AM3" s="24" t="n">
        <v>2920</v>
      </c>
      <c r="AN3" s="24" t="n">
        <v>0.0026738</v>
      </c>
      <c r="AO3" s="27" t="n">
        <v>1</v>
      </c>
      <c r="AP3" s="27" t="n">
        <v>0</v>
      </c>
      <c r="AQ3" s="27" t="n">
        <v>4380</v>
      </c>
      <c r="AR3" s="27" t="n">
        <v>0.11268</v>
      </c>
      <c r="AS3" s="26" t="n">
        <v>1</v>
      </c>
      <c r="AT3" s="26" t="n">
        <v>0</v>
      </c>
      <c r="AU3" s="26" t="n">
        <v>2920</v>
      </c>
      <c r="AV3" s="26" t="n">
        <v>0.0027855</v>
      </c>
      <c r="AW3" s="1" t="s">
        <v>78</v>
      </c>
      <c r="AX3" s="1" t="s">
        <v>79</v>
      </c>
      <c r="AY3" s="1" t="s">
        <v>86</v>
      </c>
      <c r="AZ3" s="1" t="s">
        <v>80</v>
      </c>
    </row>
    <row r="4" customFormat="false" ht="13.8" hidden="false" customHeight="false" outlineLevel="0" collapsed="false">
      <c r="A4" s="1" t="s">
        <v>11</v>
      </c>
      <c r="B4" s="22" t="s">
        <v>87</v>
      </c>
      <c r="C4" s="23" t="n">
        <v>365</v>
      </c>
      <c r="D4" s="23" t="n">
        <v>750</v>
      </c>
      <c r="E4" s="23" t="n">
        <v>1E-010</v>
      </c>
      <c r="F4" s="10" t="n">
        <v>1000</v>
      </c>
      <c r="G4" s="10" t="s">
        <v>88</v>
      </c>
      <c r="H4" s="1" t="s">
        <v>89</v>
      </c>
      <c r="I4" s="1" t="n">
        <v>0.35</v>
      </c>
      <c r="J4" s="1" t="s">
        <v>75</v>
      </c>
      <c r="K4" s="1" t="s">
        <v>90</v>
      </c>
      <c r="L4" s="10" t="s">
        <v>91</v>
      </c>
      <c r="M4" s="10" t="s">
        <v>88</v>
      </c>
      <c r="N4" s="1" t="n">
        <v>0.9</v>
      </c>
      <c r="O4" s="1" t="n">
        <v>0.05</v>
      </c>
      <c r="P4" s="1" t="n">
        <v>0.4</v>
      </c>
      <c r="Q4" s="1" t="n">
        <v>0.6</v>
      </c>
      <c r="R4" s="1" t="n">
        <f aca="false">24*21</f>
        <v>504</v>
      </c>
      <c r="S4" s="1" t="n">
        <f aca="false">24*7*6</f>
        <v>1008</v>
      </c>
      <c r="T4" s="1" t="n">
        <v>300</v>
      </c>
      <c r="U4" s="1" t="n">
        <v>500</v>
      </c>
      <c r="V4" s="1" t="n">
        <f aca="false">60*15</f>
        <v>900</v>
      </c>
      <c r="W4" s="1" t="n">
        <f aca="false">ROUND(150*600/14.7,0)</f>
        <v>6122</v>
      </c>
      <c r="X4" s="24" t="n">
        <v>1</v>
      </c>
      <c r="Y4" s="24" t="n">
        <v>0</v>
      </c>
      <c r="Z4" s="24" t="n">
        <v>4380</v>
      </c>
      <c r="AA4" s="24" t="n">
        <v>0.21635</v>
      </c>
      <c r="AB4" s="25" t="b">
        <f aca="false">TRUE()</f>
        <v>1</v>
      </c>
      <c r="AC4" s="24" t="n">
        <v>1</v>
      </c>
      <c r="AD4" s="24" t="n">
        <v>0</v>
      </c>
      <c r="AE4" s="24" t="n">
        <v>4380</v>
      </c>
      <c r="AF4" s="24" t="n">
        <v>0.083141</v>
      </c>
      <c r="AG4" s="26" t="n">
        <v>1</v>
      </c>
      <c r="AH4" s="26" t="n">
        <v>0</v>
      </c>
      <c r="AI4" s="26" t="n">
        <v>4380</v>
      </c>
      <c r="AJ4" s="26" t="n">
        <v>0.47816</v>
      </c>
      <c r="AK4" s="24" t="n">
        <v>1</v>
      </c>
      <c r="AL4" s="24" t="n">
        <v>0</v>
      </c>
      <c r="AM4" s="24" t="n">
        <v>2920</v>
      </c>
      <c r="AN4" s="24" t="n">
        <v>0.0026738</v>
      </c>
      <c r="AO4" s="27" t="n">
        <v>1</v>
      </c>
      <c r="AP4" s="27" t="n">
        <v>0</v>
      </c>
      <c r="AQ4" s="27" t="n">
        <v>4380</v>
      </c>
      <c r="AR4" s="27" t="n">
        <v>0.11268</v>
      </c>
      <c r="AS4" s="26" t="n">
        <v>1</v>
      </c>
      <c r="AT4" s="26" t="n">
        <v>0</v>
      </c>
      <c r="AU4" s="26" t="n">
        <v>2920</v>
      </c>
      <c r="AV4" s="26" t="n">
        <v>0.0027855</v>
      </c>
      <c r="AW4" s="1" t="s">
        <v>78</v>
      </c>
      <c r="AX4" s="1" t="s">
        <v>79</v>
      </c>
      <c r="AY4" s="1" t="s">
        <v>92</v>
      </c>
      <c r="AZ4" s="1" t="s">
        <v>80</v>
      </c>
    </row>
    <row r="17" customFormat="false" ht="13.8" hidden="false" customHeight="false" outlineLevel="0" collapsed="false">
      <c r="C17" s="0"/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11.43"/>
    <col collapsed="false" customWidth="true" hidden="false" outlineLevel="0" max="3" min="3" style="1" width="7.43"/>
  </cols>
  <sheetData>
    <row r="1" customFormat="false" ht="15" hidden="false" customHeight="false" outlineLevel="0" collapsed="false">
      <c r="A1" s="28" t="s">
        <v>10</v>
      </c>
      <c r="B1" s="5" t="s">
        <v>6</v>
      </c>
      <c r="C1" s="5" t="s">
        <v>14</v>
      </c>
    </row>
    <row r="2" customFormat="false" ht="15" hidden="false" customHeight="false" outlineLevel="0" collapsed="false">
      <c r="A2" s="1" t="s">
        <v>93</v>
      </c>
      <c r="B2" s="1" t="s">
        <v>11</v>
      </c>
      <c r="C2" s="1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1" width="15.43"/>
    <col collapsed="false" customWidth="true" hidden="false" outlineLevel="0" max="3" min="3" style="1" width="18.57"/>
    <col collapsed="false" customWidth="true" hidden="false" outlineLevel="0" max="4" min="4" style="1" width="13.86"/>
    <col collapsed="false" customWidth="true" hidden="false" outlineLevel="0" max="5" min="5" style="1" width="21.43"/>
    <col collapsed="false" customWidth="true" hidden="false" outlineLevel="0" max="6" min="6" style="1" width="11.57"/>
    <col collapsed="false" customWidth="true" hidden="false" outlineLevel="0" max="7" min="7" style="1" width="20.14"/>
  </cols>
  <sheetData>
    <row r="1" customFormat="false" ht="15" hidden="false" customHeight="false" outlineLevel="0" collapsed="false">
      <c r="A1" s="29" t="s">
        <v>10</v>
      </c>
      <c r="B1" s="29" t="s">
        <v>95</v>
      </c>
      <c r="C1" s="29" t="s">
        <v>96</v>
      </c>
      <c r="D1" s="29" t="s">
        <v>97</v>
      </c>
      <c r="E1" s="29" t="s">
        <v>98</v>
      </c>
      <c r="F1" s="30" t="s">
        <v>99</v>
      </c>
      <c r="G1" s="30" t="s">
        <v>100</v>
      </c>
    </row>
    <row r="2" customFormat="false" ht="13.8" hidden="false" customHeight="false" outlineLevel="0" collapsed="false">
      <c r="A2" s="1" t="s">
        <v>101</v>
      </c>
      <c r="B2" s="1" t="s">
        <v>11</v>
      </c>
      <c r="C2" s="1" t="s">
        <v>21</v>
      </c>
      <c r="D2" s="1" t="s">
        <v>11</v>
      </c>
      <c r="E2" s="1" t="s">
        <v>72</v>
      </c>
      <c r="F2" s="1" t="s">
        <v>102</v>
      </c>
      <c r="G2" s="31"/>
    </row>
    <row r="3" customFormat="false" ht="13.8" hidden="false" customHeight="false" outlineLevel="0" collapsed="false">
      <c r="A3" s="1" t="s">
        <v>101</v>
      </c>
      <c r="B3" s="1" t="s">
        <v>11</v>
      </c>
      <c r="C3" s="1" t="s">
        <v>72</v>
      </c>
      <c r="D3" s="1" t="s">
        <v>11</v>
      </c>
      <c r="E3" s="1" t="s">
        <v>94</v>
      </c>
      <c r="F3" s="1" t="s">
        <v>102</v>
      </c>
    </row>
    <row r="4" customFormat="false" ht="13.8" hidden="false" customHeight="false" outlineLevel="0" collapsed="false">
      <c r="A4" s="1" t="s">
        <v>101</v>
      </c>
      <c r="B4" s="1" t="s">
        <v>11</v>
      </c>
      <c r="C4" s="1" t="s">
        <v>21</v>
      </c>
      <c r="D4" s="1" t="s">
        <v>11</v>
      </c>
      <c r="E4" s="1" t="s">
        <v>81</v>
      </c>
      <c r="F4" s="1" t="s">
        <v>102</v>
      </c>
    </row>
    <row r="5" customFormat="false" ht="13.8" hidden="false" customHeight="false" outlineLevel="0" collapsed="false">
      <c r="A5" s="1" t="s">
        <v>101</v>
      </c>
      <c r="B5" s="1" t="s">
        <v>11</v>
      </c>
      <c r="C5" s="1" t="s">
        <v>81</v>
      </c>
      <c r="D5" s="1" t="s">
        <v>11</v>
      </c>
      <c r="E5" s="1" t="s">
        <v>94</v>
      </c>
      <c r="F5" s="1" t="s">
        <v>102</v>
      </c>
    </row>
    <row r="6" customFormat="false" ht="13.8" hidden="false" customHeight="false" outlineLevel="0" collapsed="false">
      <c r="A6" s="1" t="s">
        <v>101</v>
      </c>
      <c r="B6" s="1" t="s">
        <v>11</v>
      </c>
      <c r="C6" s="1" t="s">
        <v>21</v>
      </c>
      <c r="D6" s="1" t="s">
        <v>11</v>
      </c>
      <c r="E6" s="1" t="s">
        <v>87</v>
      </c>
      <c r="F6" s="1" t="s">
        <v>102</v>
      </c>
    </row>
    <row r="7" customFormat="false" ht="13.8" hidden="false" customHeight="false" outlineLevel="0" collapsed="false">
      <c r="A7" s="1" t="s">
        <v>101</v>
      </c>
      <c r="B7" s="1" t="s">
        <v>11</v>
      </c>
      <c r="C7" s="1" t="s">
        <v>87</v>
      </c>
      <c r="D7" s="1" t="s">
        <v>11</v>
      </c>
      <c r="E7" s="1" t="s">
        <v>94</v>
      </c>
      <c r="F7" s="1" t="s">
        <v>102</v>
      </c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9.43"/>
    <col collapsed="false" customWidth="true" hidden="false" outlineLevel="0" max="2" min="2" style="1" width="12.43"/>
    <col collapsed="false" customWidth="true" hidden="false" outlineLevel="0" max="3" min="3" style="1" width="11.14"/>
    <col collapsed="false" customWidth="true" hidden="false" outlineLevel="0" max="4" min="4" style="1" width="86"/>
  </cols>
  <sheetData>
    <row r="1" customFormat="false" ht="15" hidden="false" customHeight="false" outlineLevel="0" collapsed="false">
      <c r="A1" s="1" t="s">
        <v>10</v>
      </c>
      <c r="B1" s="1" t="s">
        <v>103</v>
      </c>
      <c r="C1" s="1" t="s">
        <v>104</v>
      </c>
    </row>
    <row r="2" customFormat="false" ht="15" hidden="false" customHeight="false" outlineLevel="0" collapsed="false">
      <c r="A2" s="1" t="s">
        <v>105</v>
      </c>
      <c r="B2" s="1" t="str">
        <f aca="false">"FFDump"&amp;C2</f>
        <v>FFDump500</v>
      </c>
      <c r="C2" s="1" t="n">
        <v>500</v>
      </c>
    </row>
    <row r="3" customFormat="false" ht="15" hidden="false" customHeight="false" outlineLevel="0" collapsed="false">
      <c r="A3" s="1" t="s">
        <v>105</v>
      </c>
      <c r="B3" s="1" t="str">
        <f aca="false">"FFDump"&amp;C3</f>
        <v>FFDump600</v>
      </c>
      <c r="C3" s="1" t="n">
        <v>600</v>
      </c>
    </row>
    <row r="4" customFormat="false" ht="15" hidden="false" customHeight="false" outlineLevel="0" collapsed="false">
      <c r="A4" s="1" t="s">
        <v>105</v>
      </c>
      <c r="B4" s="1" t="str">
        <f aca="false">"FFDump"&amp;C4</f>
        <v>FFDump601</v>
      </c>
      <c r="C4" s="1" t="n">
        <v>601</v>
      </c>
    </row>
    <row r="5" customFormat="false" ht="15" hidden="false" customHeight="false" outlineLevel="0" collapsed="false">
      <c r="A5" s="1" t="s">
        <v>105</v>
      </c>
      <c r="B5" s="1" t="str">
        <f aca="false">"FFDump"&amp;C5</f>
        <v>FFDump590</v>
      </c>
      <c r="C5" s="1" t="n">
        <v>590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19.43"/>
  </cols>
  <sheetData>
    <row r="1" customFormat="false" ht="15" hidden="false" customHeight="false" outlineLevel="0" collapsed="false">
      <c r="A1" s="29" t="s">
        <v>106</v>
      </c>
      <c r="B1" s="29" t="s">
        <v>107</v>
      </c>
    </row>
    <row r="2" customFormat="false" ht="15" hidden="false" customHeight="false" outlineLevel="0" collapsed="false">
      <c r="A2" s="1" t="s">
        <v>108</v>
      </c>
      <c r="B2" s="1" t="s">
        <v>108</v>
      </c>
    </row>
    <row r="3" customFormat="false" ht="15" hidden="false" customHeight="false" outlineLevel="0" collapsed="false">
      <c r="A3" s="1" t="s">
        <v>109</v>
      </c>
      <c r="B3" s="1" t="s">
        <v>109</v>
      </c>
    </row>
    <row r="4" customFormat="false" ht="15" hidden="false" customHeight="false" outlineLevel="0" collapsed="false">
      <c r="A4" s="1" t="s">
        <v>110</v>
      </c>
      <c r="B4" s="1" t="s">
        <v>110</v>
      </c>
    </row>
    <row r="5" customFormat="false" ht="15" hidden="false" customHeight="false" outlineLevel="0" collapsed="false">
      <c r="A5" s="1" t="s">
        <v>111</v>
      </c>
      <c r="B5" s="1" t="s">
        <v>111</v>
      </c>
    </row>
    <row r="6" customFormat="false" ht="15" hidden="false" customHeight="false" outlineLevel="0" collapsed="false">
      <c r="A6" s="1" t="s">
        <v>112</v>
      </c>
      <c r="B6" s="1" t="s">
        <v>112</v>
      </c>
    </row>
    <row r="7" customFormat="false" ht="15" hidden="false" customHeight="false" outlineLevel="0" collapsed="false">
      <c r="A7" s="1" t="s">
        <v>113</v>
      </c>
      <c r="B7" s="1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16.86"/>
  </cols>
  <sheetData>
    <row r="1" customFormat="false" ht="15" hidden="false" customHeight="false" outlineLevel="0" collapsed="false">
      <c r="A1" s="29" t="s">
        <v>106</v>
      </c>
      <c r="B1" s="29" t="s">
        <v>107</v>
      </c>
    </row>
    <row r="2" customFormat="false" ht="15" hidden="false" customHeight="false" outlineLevel="0" collapsed="false">
      <c r="A2" s="1" t="s">
        <v>108</v>
      </c>
      <c r="B2" s="1" t="s">
        <v>108</v>
      </c>
    </row>
    <row r="3" customFormat="false" ht="15" hidden="false" customHeight="false" outlineLevel="0" collapsed="false">
      <c r="A3" s="1" t="s">
        <v>114</v>
      </c>
      <c r="B3" s="1" t="s">
        <v>114</v>
      </c>
    </row>
    <row r="4" customFormat="false" ht="15" hidden="false" customHeight="false" outlineLevel="0" collapsed="false">
      <c r="A4" s="1" t="s">
        <v>115</v>
      </c>
      <c r="B4" s="1" t="s">
        <v>115</v>
      </c>
    </row>
    <row r="5" customFormat="false" ht="15" hidden="false" customHeight="false" outlineLevel="0" collapsed="false">
      <c r="A5" s="1" t="s">
        <v>116</v>
      </c>
      <c r="B5" s="1" t="s">
        <v>116</v>
      </c>
    </row>
    <row r="6" customFormat="false" ht="15" hidden="false" customHeight="false" outlineLevel="0" collapsed="false">
      <c r="A6" s="1" t="s">
        <v>117</v>
      </c>
      <c r="B6" s="1" t="s">
        <v>117</v>
      </c>
    </row>
    <row r="7" customFormat="false" ht="15" hidden="false" customHeight="false" outlineLevel="0" collapsed="false">
      <c r="A7" s="1" t="s">
        <v>110</v>
      </c>
      <c r="B7" s="1" t="s">
        <v>110</v>
      </c>
    </row>
    <row r="8" customFormat="false" ht="15" hidden="false" customHeight="false" outlineLevel="0" collapsed="false">
      <c r="A8" s="1" t="s">
        <v>118</v>
      </c>
      <c r="B8" s="1" t="s">
        <v>118</v>
      </c>
    </row>
    <row r="9" customFormat="false" ht="15" hidden="false" customHeight="false" outlineLevel="0" collapsed="false">
      <c r="A9" s="1" t="s">
        <v>119</v>
      </c>
      <c r="B9" s="1" t="s">
        <v>119</v>
      </c>
    </row>
    <row r="10" customFormat="false" ht="15" hidden="false" customHeight="false" outlineLevel="0" collapsed="false">
      <c r="A10" s="1" t="s">
        <v>120</v>
      </c>
      <c r="B10" s="1" t="s">
        <v>120</v>
      </c>
    </row>
    <row r="11" customFormat="false" ht="15" hidden="false" customHeight="false" outlineLevel="0" collapsed="false">
      <c r="A11" s="1" t="s">
        <v>121</v>
      </c>
      <c r="B11" s="1" t="s">
        <v>121</v>
      </c>
    </row>
    <row r="12" customFormat="false" ht="15" hidden="false" customHeight="false" outlineLevel="0" collapsed="false">
      <c r="A12" s="1" t="s">
        <v>122</v>
      </c>
      <c r="B12" s="1" t="s">
        <v>122</v>
      </c>
    </row>
    <row r="13" customFormat="false" ht="15" hidden="false" customHeight="false" outlineLevel="0" collapsed="false">
      <c r="A13" s="1" t="s">
        <v>112</v>
      </c>
      <c r="B13" s="1" t="s">
        <v>112</v>
      </c>
    </row>
    <row r="14" customFormat="false" ht="15" hidden="false" customHeight="false" outlineLevel="0" collapsed="false">
      <c r="A14" s="1" t="s">
        <v>113</v>
      </c>
      <c r="B14" s="1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6748</TotalTime>
  <Application>LibreOffice/7.4.2.3$Linux_X86_64 LibreOffice_project/40$Build-3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2021-02-18T15:05:05Z</dcterms:created>
  <dc:creator>openpyxl</dc:creator>
  <dc:description/>
  <dc:language>en-US</dc:language>
  <cp:lastModifiedBy/>
  <dcterms:modified xsi:type="dcterms:W3CDTF">2023-03-24T14:15:59Z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