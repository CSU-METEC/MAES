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68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wmollel\Documents\MEET2\input\Studies\TrainingExamples\"/>
    </mc:Choice>
  </mc:AlternateContent>
  <xr:revisionPtr revIDLastSave="0" documentId="13_ncr:1_{2AEA8BFF-B597-42B6-BDE5-CF5032D2B1AB}" xr6:coauthVersionLast="47" xr6:coauthVersionMax="47" xr10:uidLastSave="{00000000-0000-0000-0000-000000000000}"/>
  <bookViews>
    <workbookView xWindow="-110" yWindow="-110" windowWidth="25180" windowHeight="16140" tabRatio="838" activeTab="8" xr2:uid="{00000000-000D-0000-FFFF-FFFF00000000}"/>
  </bookViews>
  <sheets>
    <sheet name="Global Simulation Parameters" sheetId="1" r:id="rId1"/>
    <sheet name="Facilities" sheetId="2" r:id="rId2"/>
    <sheet name="Continous Wells" sheetId="3" r:id="rId3"/>
    <sheet name="Continuous Separators" sheetId="4" r:id="rId4"/>
    <sheet name="Other" sheetId="5" r:id="rId5"/>
    <sheet name="Tank Battery" sheetId="6" r:id="rId6"/>
    <sheet name="VRUs" sheetId="7" r:id="rId7"/>
    <sheet name="Flares" sheetId="8" r:id="rId8"/>
    <sheet name="FFLinks" sheetId="9" r:id="rId9"/>
    <sheet name="Master Equipment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2" i="7" l="1"/>
</calcChain>
</file>

<file path=xl/sharedStrings.xml><?xml version="1.0" encoding="utf-8"?>
<sst xmlns="http://schemas.openxmlformats.org/spreadsheetml/2006/main" count="790" uniqueCount="208">
  <si>
    <t>Simulation Start Date</t>
  </si>
  <si>
    <t>Simulation Duration [Days]</t>
  </si>
  <si>
    <t>Number of Monte Carlo Iterations</t>
  </si>
  <si>
    <t>1/1/2021</t>
  </si>
  <si>
    <t>Facility ID</t>
  </si>
  <si>
    <t>Latitude</t>
  </si>
  <si>
    <t>Longitude</t>
  </si>
  <si>
    <t>Model ID</t>
  </si>
  <si>
    <t>123-9234</t>
  </si>
  <si>
    <t>Facility.json</t>
  </si>
  <si>
    <t>Unit ID</t>
  </si>
  <si>
    <t>Component Count</t>
  </si>
  <si>
    <t>Component pLeak</t>
  </si>
  <si>
    <t>Flow Tag</t>
  </si>
  <si>
    <t>Flow Gas Composition</t>
  </si>
  <si>
    <t>123_26744</t>
  </si>
  <si>
    <t>123_32319</t>
  </si>
  <si>
    <t>123_32320</t>
  </si>
  <si>
    <t>123_32321</t>
  </si>
  <si>
    <t>Well</t>
  </si>
  <si>
    <t>Default-LeakGc</t>
  </si>
  <si>
    <t>Stuck Dump Valve Component Count</t>
  </si>
  <si>
    <t>Stuck Dump Valve pLeak</t>
  </si>
  <si>
    <t>Fraction of Flash Released</t>
  </si>
  <si>
    <t>Primary Water Takeoff Ratio</t>
  </si>
  <si>
    <t>Flow GC Tag</t>
  </si>
  <si>
    <t>Factor Tag</t>
  </si>
  <si>
    <t>sep_stage1_1</t>
  </si>
  <si>
    <t>sep_stage1_2</t>
  </si>
  <si>
    <t>sep_stage1_3</t>
  </si>
  <si>
    <t>sep_stage1_4</t>
  </si>
  <si>
    <t>sep_stage2_1</t>
  </si>
  <si>
    <t>sep_stage2_2</t>
  </si>
  <si>
    <t>sep_stage2_3</t>
  </si>
  <si>
    <t>sep_stage2_4</t>
  </si>
  <si>
    <t>Stage1</t>
  </si>
  <si>
    <t>Stage2</t>
  </si>
  <si>
    <t>ContinuousSeparator.json</t>
  </si>
  <si>
    <t>Well-Condensate.Stage1-Flash</t>
  </si>
  <si>
    <t>Well-Condensate.Stage1-Condensate.Stage2-Flash</t>
  </si>
  <si>
    <t>Common Facility Vent Component Count</t>
  </si>
  <si>
    <t>Common Facility Vent pLeak</t>
  </si>
  <si>
    <t>Facility Components (Large Emitter) pLeak</t>
  </si>
  <si>
    <t>Facility Vent (Large Emitter) pLeak</t>
  </si>
  <si>
    <t>misc_equipment</t>
  </si>
  <si>
    <t>MiscWellpad.json</t>
  </si>
  <si>
    <t>Number of Thief Hatches</t>
  </si>
  <si>
    <t>Number of Vents</t>
  </si>
  <si>
    <t>Tank Thief Hatch pLeak</t>
  </si>
  <si>
    <t>Tank Battery Vent pLeak</t>
  </si>
  <si>
    <t>Overpressure Vents Large Emitter pLeak</t>
  </si>
  <si>
    <t>TankBattery.json</t>
  </si>
  <si>
    <t>tank_battery_WATER</t>
  </si>
  <si>
    <t>tank_battery_OIL</t>
  </si>
  <si>
    <t>Water Tank</t>
  </si>
  <si>
    <t>Condensate Tank</t>
  </si>
  <si>
    <t>Water</t>
  </si>
  <si>
    <t>Condensate</t>
  </si>
  <si>
    <t>Well-Water.Stage1-Water.Stage2-Water.Tank-Flash</t>
  </si>
  <si>
    <t>Engine Efficiency</t>
  </si>
  <si>
    <t>Exhaust Factors</t>
  </si>
  <si>
    <t>Average Loading</t>
  </si>
  <si>
    <t>Std Loading</t>
  </si>
  <si>
    <t>Operating Fraction</t>
  </si>
  <si>
    <t>NOP Fraction of NOP/NOD</t>
  </si>
  <si>
    <t>Blowdown Vent Component Count</t>
  </si>
  <si>
    <t>Blowdown Vent pLeak</t>
  </si>
  <si>
    <t>Common Single-Unit Vent Component Count</t>
  </si>
  <si>
    <t>Common Single-Unit Vent pLeak</t>
  </si>
  <si>
    <t>Seal Vent Component Count</t>
  </si>
  <si>
    <t>Seal Vent pLeak</t>
  </si>
  <si>
    <t>Seal Vent(Large Emitter) Component Count</t>
  </si>
  <si>
    <t>Seal Vent(Large Emitter) pLeak</t>
  </si>
  <si>
    <t>Compressor Starter Vent Component Count</t>
  </si>
  <si>
    <t>Compressor Starter Vent pLeak</t>
  </si>
  <si>
    <t>Common Single-unit Vent(Large Emitter) Component Count</t>
  </si>
  <si>
    <t>Common Single-unit Vent(Large Emitter) pLeak</t>
  </si>
  <si>
    <t>Combustion GC Name</t>
  </si>
  <si>
    <t>VRU_1</t>
  </si>
  <si>
    <t>Rodpacking</t>
  </si>
  <si>
    <t>4SRB</t>
  </si>
  <si>
    <t>Recip</t>
  </si>
  <si>
    <t>Electric</t>
  </si>
  <si>
    <t>Compressor.json</t>
  </si>
  <si>
    <t>pMalfunction</t>
  </si>
  <si>
    <t>Malfunction Destruction Efficiency</t>
  </si>
  <si>
    <t>pUnlit</t>
  </si>
  <si>
    <t>Unlit Destruction Efficiency</t>
  </si>
  <si>
    <t>Operating Destruction Efficiency</t>
  </si>
  <si>
    <t>Flare_1</t>
  </si>
  <si>
    <t>Flare.json</t>
  </si>
  <si>
    <t>Outlet FacilityID</t>
  </si>
  <si>
    <t>Outlet UnitID</t>
  </si>
  <si>
    <t>Inlet FacilityID</t>
  </si>
  <si>
    <t>Inlet UnitID</t>
  </si>
  <si>
    <t>Flow Name</t>
  </si>
  <si>
    <t>Flow SecondaryID</t>
  </si>
  <si>
    <t>FFLink.json</t>
  </si>
  <si>
    <t>Vapor</t>
  </si>
  <si>
    <t>condensate_flow</t>
  </si>
  <si>
    <t>primary_water</t>
  </si>
  <si>
    <t>condensate_flash</t>
  </si>
  <si>
    <t>water_flash</t>
  </si>
  <si>
    <t>stuck_dump_valve_vapor</t>
  </si>
  <si>
    <t>tank_flash</t>
  </si>
  <si>
    <t>Readable Name</t>
  </si>
  <si>
    <t>Tab</t>
  </si>
  <si>
    <t>Facilities</t>
  </si>
  <si>
    <t>Continuous Separators</t>
  </si>
  <si>
    <t>Other</t>
  </si>
  <si>
    <t>Tank Battery</t>
  </si>
  <si>
    <t>VRUs</t>
  </si>
  <si>
    <t>Flares</t>
  </si>
  <si>
    <t>Fluid Flows</t>
  </si>
  <si>
    <t>FFLinks</t>
  </si>
  <si>
    <t xml:space="preserve"> Leak GC Name</t>
  </si>
  <si>
    <t>VRT</t>
  </si>
  <si>
    <t>Stage3</t>
  </si>
  <si>
    <t>Well-Condensate.Stage1-Condensate.Stage2-Condensate.Stage3-Flash</t>
  </si>
  <si>
    <t>wellpad_tanks</t>
  </si>
  <si>
    <t>Leak Gas Composition</t>
  </si>
  <si>
    <t>Component Leak Survey Frequency [days]</t>
  </si>
  <si>
    <t>Oil Production [bbl/day]</t>
  </si>
  <si>
    <t>Water Production [bbl/day]</t>
  </si>
  <si>
    <t>Stuck Dump Valve Failure Duration Min [days]</t>
  </si>
  <si>
    <t>Stuck Dump Valve Failure Duration Max [days]</t>
  </si>
  <si>
    <t>Facility Common Vent [TRUE/FALSE]</t>
  </si>
  <si>
    <t>Common Facility Vent MTTR Min [days]</t>
  </si>
  <si>
    <t>Common Facility Vent MTTR Max [days]</t>
  </si>
  <si>
    <t>Facility Components Large Emitter [TRUE/FALSE]</t>
  </si>
  <si>
    <t>Facility Components (Large Emitter) MTTR Min [days]</t>
  </si>
  <si>
    <t>Facility Components (Large Emitter) MTTR Max [days]</t>
  </si>
  <si>
    <t>Facility Vent (Large Emitter) MTTR Min [days]</t>
  </si>
  <si>
    <t>Facility Vent (Large Emitter) MTTR Max [days]</t>
  </si>
  <si>
    <t>Battery Type [Condensate Tank, Water Tank]</t>
  </si>
  <si>
    <t>Fluid [Water, Condensate]</t>
  </si>
  <si>
    <t>Tank Thief Hatch MTTR min [days]</t>
  </si>
  <si>
    <t>Tank Thief Hatch MTTR max [days]</t>
  </si>
  <si>
    <t>Tank Battery Vent MTTR min [days]</t>
  </si>
  <si>
    <t>Tank Battery Vent MTTR max [days]</t>
  </si>
  <si>
    <t>Overpressure Vents Large Emitter MTTR min [days]</t>
  </si>
  <si>
    <t>Overpressure Vents Large Emitter MTTR max [days]</t>
  </si>
  <si>
    <t>Overpressure Vents Large Emitter Threshold [scfh]</t>
  </si>
  <si>
    <t>Inlet Flow At Max Primary Flow [scfh]</t>
  </si>
  <si>
    <t>Max Primary Outlet Flow [scfh]</t>
  </si>
  <si>
    <t>Leak GC Name</t>
  </si>
  <si>
    <t>Seal Type [Dry, Wet, Rod Packing]</t>
  </si>
  <si>
    <t>Compressor Power [kW]</t>
  </si>
  <si>
    <t>Driver Type [Turbine, 4SLB, 2SLB, 4SRB, Electric]</t>
  </si>
  <si>
    <t>Compressor Type [Centrifugal, Reciprocating, Other]</t>
  </si>
  <si>
    <t>Total Duration Lower Limit [Hours]</t>
  </si>
  <si>
    <t>Total Duration Upper Limit [Hours]</t>
  </si>
  <si>
    <t>Starter Type [Gas, Electric, Air]</t>
  </si>
  <si>
    <t>Starter Event Emission Duration [s]</t>
  </si>
  <si>
    <t>Starter Event Emission Volume [SCF]</t>
  </si>
  <si>
    <t>Blowdown Event Duration [s]</t>
  </si>
  <si>
    <t>Blowdown Event Emission Volume [SCF]</t>
  </si>
  <si>
    <t>Blowdown Vent MTTRMin [days]</t>
  </si>
  <si>
    <t>Blowdown Vent MTTRMax [days]</t>
  </si>
  <si>
    <t>Single Unit Vents [TRUE, FALSE]</t>
  </si>
  <si>
    <t>Common Single-Unit Vent MTTR Min [days]</t>
  </si>
  <si>
    <t>Common Single-Unit Vent MTTR Max [days]</t>
  </si>
  <si>
    <t>Seal Vent MTTR Min [days]</t>
  </si>
  <si>
    <t>Seal Vent MTTR Max [days]</t>
  </si>
  <si>
    <t>Seal Vent(Large Emitter) MTTR Min [days]</t>
  </si>
  <si>
    <t>Seal Vent(Large Emitter) MTTR Max [days]</t>
  </si>
  <si>
    <t>Compressor Starter Vent MTTR Min [days]</t>
  </si>
  <si>
    <t>Compressor Starter Vent MTTR Max [days]</t>
  </si>
  <si>
    <t>Common Single-unit Vent(Large Emitter) MTTR Min [days]</t>
  </si>
  <si>
    <t>Common Single-unit Vent(Large Emitter) MTTR Max [days]</t>
  </si>
  <si>
    <t>Malfunction Duration min [days]</t>
  </si>
  <si>
    <t>Malfunction Duration max [days]</t>
  </si>
  <si>
    <t>Unlit Duration min [days]</t>
  </si>
  <si>
    <t>Unlit Duration max [days]</t>
  </si>
  <si>
    <t>Operating Duration min [days]</t>
  </si>
  <si>
    <t>Operating Duration max [days]</t>
  </si>
  <si>
    <t> 40.1445 -104.5568</t>
  </si>
  <si>
    <t>Di per month</t>
  </si>
  <si>
    <t>b Hyperbolic</t>
  </si>
  <si>
    <t>Age months</t>
  </si>
  <si>
    <t>Well.json</t>
  </si>
  <si>
    <t>input/Studies/TrainingExamples/CompositionsExample_2.csv</t>
  </si>
  <si>
    <t>C3</t>
  </si>
  <si>
    <t>Mechanistic Emissions Flag [True, False]</t>
  </si>
  <si>
    <t>Tank Thief Hatch Large Emitter MTTR min [days]</t>
  </si>
  <si>
    <t>Tank Thief Hatch Large Emitter MTTR max [days]</t>
  </si>
  <si>
    <t>Tank Thief Hatch Large Emitter pLeak</t>
  </si>
  <si>
    <t>Tank Battery Vent Large Emitter MTTR min [days]</t>
  </si>
  <si>
    <t>Tank Battery Vent Large Emitter MTTR max [days]</t>
  </si>
  <si>
    <t>Tank Battery Vent Large Emitter pLeak</t>
  </si>
  <si>
    <t>Compressor Efficiency</t>
  </si>
  <si>
    <t>Load Condition File</t>
  </si>
  <si>
    <t>DestEffAll4SRB</t>
  </si>
  <si>
    <t>VP_50_PS4</t>
  </si>
  <si>
    <t>condensate_gas_sales</t>
  </si>
  <si>
    <t>gas_sales</t>
  </si>
  <si>
    <t>water_gas_sales</t>
  </si>
  <si>
    <t>flare_flow</t>
  </si>
  <si>
    <t>Continous Wells</t>
  </si>
  <si>
    <t>Well-Condensate.Stage1-Condensate.Stage2-Condensate.Stage3-Condensate.Tank-Flash</t>
  </si>
  <si>
    <t>Actuator Type [Gas, Electric, Air]</t>
  </si>
  <si>
    <t xml:space="preserve">Gas </t>
  </si>
  <si>
    <t>Actuator Type[Gas, Air, Electric]</t>
  </si>
  <si>
    <t>Gas</t>
  </si>
  <si>
    <t>Facility Type</t>
  </si>
  <si>
    <t>Common</t>
  </si>
  <si>
    <t>Production/FlashFractions/FlashFractionsTest.csv</t>
  </si>
  <si>
    <t>tank_gas_outlet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</si>
</sst>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name val="Calibri"/>
      <family val="2"/>
    </font>
    <font>
      <sz val="11"/>
      <color rgb="FF006100"/>
      <name val="Calibri"/>
      <family val="2"/>
      <scheme val="minor"/>
    </font>
    <font>
      <b/>
      <sz val="11"/>
      <color rgb="FF0061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6EFCE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/>
      <bottom/>
      <diagonal/>
    </border>
  </borders>
  <cellStyleXfs count="2">
    <xf numFmtId="0" fontId="0" fillId="0" borderId="0"/>
    <xf numFmtId="0" fontId="4" fillId="2" borderId="0" applyNumberFormat="0" applyBorder="0" applyAlignment="0" applyProtection="0"/>
  </cellStyleXfs>
  <cellXfs count="15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wrapText="1"/>
    </xf>
    <xf numFmtId="0" fontId="1" fillId="0" borderId="1" xfId="0" applyFont="1" applyBorder="1" applyAlignment="1">
      <alignment horizontal="center" wrapText="1"/>
    </xf>
    <xf numFmtId="0" fontId="3" fillId="0" borderId="1" xfId="0" applyFont="1" applyBorder="1" applyAlignment="1">
      <alignment horizontal="center" wrapText="1"/>
    </xf>
    <xf numFmtId="11" fontId="0" fillId="0" borderId="0" xfId="0" applyNumberFormat="1"/>
    <xf numFmtId="0" fontId="3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top" wrapText="1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 wrapText="1"/>
    </xf>
    <xf numFmtId="0" fontId="5" fillId="2" borderId="1" xfId="1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4" fillId="2" borderId="0" xfId="1"/>
    <xf numFmtId="0" fontId="3" fillId="0" borderId="2" xfId="0" applyFont="1" applyBorder="1" applyAlignment="1">
      <alignment horizontal="center" vertical="center" wrapText="1"/>
    </xf>
    <xf numFmtId="0" fontId="0" fillId="0" borderId="3" xfId="0" applyBorder="1" applyProtection="1">
      <protection locked="0"/>
    </xf>
  </cellXfs>
  <cellStyles count="2">
    <cellStyle name="Good" xfId="1" builtinId="26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"/>
  <sheetViews>
    <sheetView workbookViewId="0">
      <selection activeCell="B17" sqref="B17"/>
    </sheetView>
  </sheetViews>
  <sheetFormatPr defaultRowHeight="14.5" x14ac:dyDescent="0.35"/>
  <cols>
    <col min="1" max="1" width="29.26953125" bestFit="1" customWidth="1"/>
    <col min="2" max="2" width="55.26953125" bestFit="1" customWidth="1"/>
  </cols>
  <sheetData>
    <row r="1" spans="1:2" x14ac:dyDescent="0.35">
      <c r="A1" t="s">
        <v>0</v>
      </c>
      <c r="B1" t="s">
        <v>3</v>
      </c>
    </row>
    <row r="2" spans="1:2" x14ac:dyDescent="0.35">
      <c r="A2" t="s">
        <v>1</v>
      </c>
      <c r="B2">
        <v>365</v>
      </c>
    </row>
    <row r="3" spans="1:2" x14ac:dyDescent="0.35">
      <c r="A3" t="s">
        <v>2</v>
      </c>
      <c r="B3">
        <v>10</v>
      </c>
    </row>
    <row r="4" spans="1:2" x14ac:dyDescent="0.35">
      <c r="A4" t="s">
        <v>204</v>
      </c>
      <c r="B4" t="s">
        <v>205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"/>
  <sheetViews>
    <sheetView workbookViewId="0">
      <selection activeCell="D2" sqref="D2"/>
    </sheetView>
  </sheetViews>
  <sheetFormatPr defaultRowHeight="14.5" x14ac:dyDescent="0.35"/>
  <cols>
    <col min="3" max="3" width="11.7265625" bestFit="1" customWidth="1"/>
    <col min="4" max="4" width="57.26953125" bestFit="1" customWidth="1"/>
  </cols>
  <sheetData>
    <row r="1" spans="1:5" x14ac:dyDescent="0.35">
      <c r="A1" s="1" t="s">
        <v>4</v>
      </c>
      <c r="B1" s="1" t="s">
        <v>5</v>
      </c>
      <c r="C1" s="1" t="s">
        <v>6</v>
      </c>
      <c r="D1" s="3" t="s">
        <v>120</v>
      </c>
      <c r="E1" s="1" t="s">
        <v>7</v>
      </c>
    </row>
    <row r="2" spans="1:5" x14ac:dyDescent="0.35">
      <c r="A2" t="s">
        <v>8</v>
      </c>
      <c r="B2" t="s">
        <v>176</v>
      </c>
      <c r="C2">
        <v>-104.748724</v>
      </c>
      <c r="D2" t="s">
        <v>181</v>
      </c>
      <c r="E2" t="s">
        <v>9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5"/>
  <sheetViews>
    <sheetView workbookViewId="0">
      <selection activeCell="H25" sqref="H25"/>
    </sheetView>
  </sheetViews>
  <sheetFormatPr defaultRowHeight="14.5" x14ac:dyDescent="0.35"/>
  <cols>
    <col min="4" max="16" width="11.7265625" customWidth="1"/>
    <col min="17" max="17" width="20.26953125" customWidth="1"/>
  </cols>
  <sheetData>
    <row r="1" spans="1:18" s="2" customFormat="1" ht="58" x14ac:dyDescent="0.35">
      <c r="A1" s="9" t="s">
        <v>4</v>
      </c>
      <c r="B1" s="9" t="s">
        <v>10</v>
      </c>
      <c r="C1" s="9" t="s">
        <v>5</v>
      </c>
      <c r="D1" s="9" t="s">
        <v>6</v>
      </c>
      <c r="E1" s="10" t="s">
        <v>121</v>
      </c>
      <c r="F1" s="10" t="s">
        <v>11</v>
      </c>
      <c r="G1" s="10" t="s">
        <v>12</v>
      </c>
      <c r="H1" s="9" t="s">
        <v>122</v>
      </c>
      <c r="I1" s="9" t="s">
        <v>123</v>
      </c>
      <c r="J1" s="3" t="s">
        <v>200</v>
      </c>
      <c r="K1" s="11" t="s">
        <v>177</v>
      </c>
      <c r="L1" s="11" t="s">
        <v>178</v>
      </c>
      <c r="M1" s="11" t="s">
        <v>179</v>
      </c>
      <c r="N1" s="11" t="s">
        <v>13</v>
      </c>
      <c r="O1" s="11" t="s">
        <v>7</v>
      </c>
      <c r="P1" s="9" t="s">
        <v>145</v>
      </c>
      <c r="Q1" s="3" t="s">
        <v>14</v>
      </c>
      <c r="R1" s="4" t="s">
        <v>26</v>
      </c>
    </row>
    <row r="2" spans="1:18" x14ac:dyDescent="0.35">
      <c r="A2" t="s">
        <v>8</v>
      </c>
      <c r="B2" t="s">
        <v>15</v>
      </c>
      <c r="C2">
        <v>0</v>
      </c>
      <c r="D2">
        <v>0</v>
      </c>
      <c r="E2" s="12">
        <v>365</v>
      </c>
      <c r="F2" s="12">
        <v>48</v>
      </c>
      <c r="G2" s="12">
        <v>5.0000000000000001E-3</v>
      </c>
      <c r="H2">
        <v>2.645</v>
      </c>
      <c r="I2">
        <v>0.28100000000000003</v>
      </c>
      <c r="J2" t="s">
        <v>201</v>
      </c>
      <c r="K2">
        <v>0</v>
      </c>
      <c r="L2">
        <v>1E-4</v>
      </c>
      <c r="M2">
        <v>1</v>
      </c>
      <c r="N2" t="s">
        <v>19</v>
      </c>
      <c r="O2" t="s">
        <v>180</v>
      </c>
      <c r="P2" t="s">
        <v>20</v>
      </c>
      <c r="Q2" t="s">
        <v>181</v>
      </c>
      <c r="R2" t="s">
        <v>182</v>
      </c>
    </row>
    <row r="3" spans="1:18" x14ac:dyDescent="0.35">
      <c r="A3" t="s">
        <v>8</v>
      </c>
      <c r="B3" t="s">
        <v>16</v>
      </c>
      <c r="C3">
        <v>0</v>
      </c>
      <c r="D3">
        <v>0</v>
      </c>
      <c r="E3" s="12">
        <v>365</v>
      </c>
      <c r="F3" s="12">
        <v>48</v>
      </c>
      <c r="G3" s="12">
        <v>5.0000000000000001E-3</v>
      </c>
      <c r="H3">
        <v>1.7589999999999999</v>
      </c>
      <c r="I3">
        <v>0.17899999999999999</v>
      </c>
      <c r="J3" t="s">
        <v>201</v>
      </c>
      <c r="K3">
        <v>0</v>
      </c>
      <c r="L3">
        <v>1E-4</v>
      </c>
      <c r="M3">
        <v>1</v>
      </c>
      <c r="N3" t="s">
        <v>19</v>
      </c>
      <c r="O3" t="s">
        <v>180</v>
      </c>
      <c r="P3" t="s">
        <v>20</v>
      </c>
      <c r="Q3" t="s">
        <v>181</v>
      </c>
      <c r="R3" t="s">
        <v>182</v>
      </c>
    </row>
    <row r="4" spans="1:18" x14ac:dyDescent="0.35">
      <c r="A4" t="s">
        <v>8</v>
      </c>
      <c r="B4" t="s">
        <v>17</v>
      </c>
      <c r="C4">
        <v>0</v>
      </c>
      <c r="D4">
        <v>0</v>
      </c>
      <c r="E4" s="12">
        <v>365</v>
      </c>
      <c r="F4" s="12">
        <v>48</v>
      </c>
      <c r="G4" s="12">
        <v>5.0000000000000001E-3</v>
      </c>
      <c r="H4">
        <v>0.89</v>
      </c>
      <c r="I4">
        <v>8.7999999999999995E-2</v>
      </c>
      <c r="J4" t="s">
        <v>201</v>
      </c>
      <c r="K4">
        <v>0</v>
      </c>
      <c r="L4">
        <v>1E-4</v>
      </c>
      <c r="M4">
        <v>1</v>
      </c>
      <c r="N4" t="s">
        <v>19</v>
      </c>
      <c r="O4" t="s">
        <v>180</v>
      </c>
      <c r="P4" t="s">
        <v>20</v>
      </c>
      <c r="Q4" t="s">
        <v>181</v>
      </c>
      <c r="R4" t="s">
        <v>182</v>
      </c>
    </row>
    <row r="5" spans="1:18" x14ac:dyDescent="0.35">
      <c r="A5" t="s">
        <v>8</v>
      </c>
      <c r="B5" t="s">
        <v>18</v>
      </c>
      <c r="C5">
        <v>0</v>
      </c>
      <c r="D5">
        <v>0</v>
      </c>
      <c r="E5" s="12">
        <v>365</v>
      </c>
      <c r="F5" s="12">
        <v>48</v>
      </c>
      <c r="G5" s="12">
        <v>5.0000000000000001E-3</v>
      </c>
      <c r="H5">
        <v>2.1549999999999998</v>
      </c>
      <c r="I5">
        <v>0.21299999999999999</v>
      </c>
      <c r="J5" t="s">
        <v>201</v>
      </c>
      <c r="K5">
        <v>0</v>
      </c>
      <c r="L5">
        <v>1E-4</v>
      </c>
      <c r="M5">
        <v>1</v>
      </c>
      <c r="N5" t="s">
        <v>19</v>
      </c>
      <c r="O5" t="s">
        <v>180</v>
      </c>
      <c r="P5" t="s">
        <v>20</v>
      </c>
      <c r="Q5" t="s">
        <v>181</v>
      </c>
      <c r="R5" t="s">
        <v>182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12"/>
  <sheetViews>
    <sheetView topLeftCell="D1" workbookViewId="0">
      <selection activeCell="K22" sqref="K22"/>
    </sheetView>
  </sheetViews>
  <sheetFormatPr defaultRowHeight="14.5" x14ac:dyDescent="0.35"/>
  <cols>
    <col min="1" max="1" width="9.26953125" bestFit="1" customWidth="1"/>
    <col min="2" max="2" width="12.453125" bestFit="1" customWidth="1"/>
    <col min="3" max="3" width="13.7265625" customWidth="1"/>
    <col min="4" max="4" width="16.81640625" bestFit="1" customWidth="1"/>
    <col min="5" max="5" width="16.7265625" bestFit="1" customWidth="1"/>
    <col min="6" max="6" width="13" bestFit="1" customWidth="1"/>
    <col min="7" max="7" width="14.7265625" customWidth="1"/>
    <col min="8" max="8" width="11.7265625" customWidth="1"/>
    <col min="9" max="9" width="13.26953125" customWidth="1"/>
    <col min="10" max="10" width="13.54296875" customWidth="1"/>
    <col min="11" max="11" width="12.81640625" customWidth="1"/>
    <col min="12" max="12" width="12.1796875" customWidth="1"/>
    <col min="13" max="13" width="11.26953125" bestFit="1" customWidth="1"/>
    <col min="14" max="14" width="23.7265625" bestFit="1" customWidth="1"/>
    <col min="15" max="15" width="59.7265625" bestFit="1" customWidth="1"/>
    <col min="16" max="16" width="9.7265625" bestFit="1" customWidth="1"/>
  </cols>
  <sheetData>
    <row r="1" spans="1:16" s="2" customFormat="1" ht="58" x14ac:dyDescent="0.35">
      <c r="A1" s="3" t="s">
        <v>4</v>
      </c>
      <c r="B1" s="3" t="s">
        <v>10</v>
      </c>
      <c r="C1" s="3" t="s">
        <v>121</v>
      </c>
      <c r="D1" s="3" t="s">
        <v>11</v>
      </c>
      <c r="E1" s="3" t="s">
        <v>12</v>
      </c>
      <c r="F1" s="3" t="s">
        <v>202</v>
      </c>
      <c r="G1" s="3" t="s">
        <v>21</v>
      </c>
      <c r="H1" s="3" t="s">
        <v>22</v>
      </c>
      <c r="I1" s="3" t="s">
        <v>124</v>
      </c>
      <c r="J1" s="3" t="s">
        <v>125</v>
      </c>
      <c r="K1" s="3" t="s">
        <v>23</v>
      </c>
      <c r="L1" s="3" t="s">
        <v>24</v>
      </c>
      <c r="M1" s="3" t="s">
        <v>25</v>
      </c>
      <c r="N1" s="3" t="s">
        <v>7</v>
      </c>
      <c r="O1" s="3" t="s">
        <v>115</v>
      </c>
      <c r="P1" s="3" t="s">
        <v>26</v>
      </c>
    </row>
    <row r="2" spans="1:16" x14ac:dyDescent="0.35">
      <c r="A2" t="s">
        <v>8</v>
      </c>
      <c r="B2" t="s">
        <v>27</v>
      </c>
      <c r="C2">
        <v>365</v>
      </c>
      <c r="D2">
        <v>62</v>
      </c>
      <c r="E2">
        <v>5.9867000000000002E-3</v>
      </c>
      <c r="F2" t="s">
        <v>203</v>
      </c>
      <c r="G2">
        <v>1</v>
      </c>
      <c r="H2">
        <v>5.7000000000000002E-3</v>
      </c>
      <c r="I2">
        <v>1</v>
      </c>
      <c r="J2">
        <v>20</v>
      </c>
      <c r="K2" t="s">
        <v>206</v>
      </c>
      <c r="L2">
        <v>0</v>
      </c>
      <c r="M2" t="s">
        <v>35</v>
      </c>
      <c r="N2" t="s">
        <v>37</v>
      </c>
      <c r="O2" t="s">
        <v>38</v>
      </c>
      <c r="P2" t="s">
        <v>182</v>
      </c>
    </row>
    <row r="3" spans="1:16" x14ac:dyDescent="0.35">
      <c r="A3" t="s">
        <v>8</v>
      </c>
      <c r="B3" t="s">
        <v>28</v>
      </c>
      <c r="C3">
        <v>365</v>
      </c>
      <c r="D3">
        <v>62</v>
      </c>
      <c r="E3">
        <v>5.9867000000000002E-3</v>
      </c>
      <c r="F3" t="s">
        <v>203</v>
      </c>
      <c r="G3">
        <v>1</v>
      </c>
      <c r="H3">
        <v>5.7000000000000002E-3</v>
      </c>
      <c r="I3">
        <v>1</v>
      </c>
      <c r="J3">
        <v>20</v>
      </c>
      <c r="K3" t="s">
        <v>206</v>
      </c>
      <c r="L3">
        <v>0</v>
      </c>
      <c r="M3" t="s">
        <v>35</v>
      </c>
      <c r="N3" t="s">
        <v>37</v>
      </c>
      <c r="O3" t="s">
        <v>38</v>
      </c>
      <c r="P3" t="s">
        <v>182</v>
      </c>
    </row>
    <row r="4" spans="1:16" x14ac:dyDescent="0.35">
      <c r="A4" t="s">
        <v>8</v>
      </c>
      <c r="B4" t="s">
        <v>29</v>
      </c>
      <c r="C4">
        <v>365</v>
      </c>
      <c r="D4">
        <v>62</v>
      </c>
      <c r="E4">
        <v>5.9867000000000002E-3</v>
      </c>
      <c r="F4" t="s">
        <v>203</v>
      </c>
      <c r="G4">
        <v>1</v>
      </c>
      <c r="H4">
        <v>5.7000000000000002E-3</v>
      </c>
      <c r="I4">
        <v>1</v>
      </c>
      <c r="J4">
        <v>20</v>
      </c>
      <c r="K4" t="s">
        <v>206</v>
      </c>
      <c r="L4">
        <v>0</v>
      </c>
      <c r="M4" t="s">
        <v>35</v>
      </c>
      <c r="N4" t="s">
        <v>37</v>
      </c>
      <c r="O4" t="s">
        <v>38</v>
      </c>
      <c r="P4" t="s">
        <v>182</v>
      </c>
    </row>
    <row r="5" spans="1:16" x14ac:dyDescent="0.35">
      <c r="A5" t="s">
        <v>8</v>
      </c>
      <c r="B5" t="s">
        <v>30</v>
      </c>
      <c r="C5">
        <v>365</v>
      </c>
      <c r="D5">
        <v>62</v>
      </c>
      <c r="E5">
        <v>5.9867000000000002E-3</v>
      </c>
      <c r="F5" t="s">
        <v>203</v>
      </c>
      <c r="G5">
        <v>1</v>
      </c>
      <c r="H5">
        <v>5.7000000000000002E-3</v>
      </c>
      <c r="I5">
        <v>1</v>
      </c>
      <c r="J5">
        <v>20</v>
      </c>
      <c r="K5" t="s">
        <v>206</v>
      </c>
      <c r="L5">
        <v>0</v>
      </c>
      <c r="M5" t="s">
        <v>35</v>
      </c>
      <c r="N5" t="s">
        <v>37</v>
      </c>
      <c r="O5" t="s">
        <v>38</v>
      </c>
      <c r="P5" t="s">
        <v>182</v>
      </c>
    </row>
    <row r="7" spans="1:16" x14ac:dyDescent="0.35">
      <c r="A7" t="s">
        <v>8</v>
      </c>
      <c r="B7" t="s">
        <v>31</v>
      </c>
      <c r="C7">
        <v>365</v>
      </c>
      <c r="D7">
        <v>62</v>
      </c>
      <c r="E7">
        <v>5.9867000000000002E-3</v>
      </c>
      <c r="F7" t="s">
        <v>203</v>
      </c>
      <c r="G7">
        <v>1</v>
      </c>
      <c r="H7">
        <v>5.7000000000000002E-3</v>
      </c>
      <c r="I7">
        <v>1</v>
      </c>
      <c r="J7">
        <v>20</v>
      </c>
      <c r="K7" t="s">
        <v>206</v>
      </c>
      <c r="L7">
        <v>1</v>
      </c>
      <c r="M7" t="s">
        <v>36</v>
      </c>
      <c r="N7" t="s">
        <v>37</v>
      </c>
      <c r="O7" t="s">
        <v>39</v>
      </c>
      <c r="P7" t="s">
        <v>182</v>
      </c>
    </row>
    <row r="8" spans="1:16" x14ac:dyDescent="0.35">
      <c r="A8" t="s">
        <v>8</v>
      </c>
      <c r="B8" t="s">
        <v>32</v>
      </c>
      <c r="C8">
        <v>365</v>
      </c>
      <c r="D8">
        <v>62</v>
      </c>
      <c r="E8">
        <v>5.9867000000000002E-3</v>
      </c>
      <c r="F8" t="s">
        <v>203</v>
      </c>
      <c r="G8">
        <v>1</v>
      </c>
      <c r="H8">
        <v>5.7000000000000002E-3</v>
      </c>
      <c r="I8">
        <v>1</v>
      </c>
      <c r="J8">
        <v>20</v>
      </c>
      <c r="K8" t="s">
        <v>206</v>
      </c>
      <c r="L8">
        <v>1</v>
      </c>
      <c r="M8" t="s">
        <v>36</v>
      </c>
      <c r="N8" t="s">
        <v>37</v>
      </c>
      <c r="O8" t="s">
        <v>39</v>
      </c>
      <c r="P8" t="s">
        <v>182</v>
      </c>
    </row>
    <row r="9" spans="1:16" x14ac:dyDescent="0.35">
      <c r="A9" t="s">
        <v>8</v>
      </c>
      <c r="B9" t="s">
        <v>33</v>
      </c>
      <c r="C9">
        <v>365</v>
      </c>
      <c r="D9">
        <v>62</v>
      </c>
      <c r="E9">
        <v>5.9867000000000002E-3</v>
      </c>
      <c r="F9" t="s">
        <v>203</v>
      </c>
      <c r="G9">
        <v>1</v>
      </c>
      <c r="H9">
        <v>5.7000000000000002E-3</v>
      </c>
      <c r="I9">
        <v>1</v>
      </c>
      <c r="J9">
        <v>20</v>
      </c>
      <c r="K9" t="s">
        <v>206</v>
      </c>
      <c r="L9">
        <v>1</v>
      </c>
      <c r="M9" t="s">
        <v>36</v>
      </c>
      <c r="N9" t="s">
        <v>37</v>
      </c>
      <c r="O9" t="s">
        <v>39</v>
      </c>
      <c r="P9" t="s">
        <v>182</v>
      </c>
    </row>
    <row r="10" spans="1:16" x14ac:dyDescent="0.35">
      <c r="A10" t="s">
        <v>8</v>
      </c>
      <c r="B10" t="s">
        <v>34</v>
      </c>
      <c r="C10">
        <v>365</v>
      </c>
      <c r="D10">
        <v>62</v>
      </c>
      <c r="E10">
        <v>5.9867000000000002E-3</v>
      </c>
      <c r="F10" t="s">
        <v>203</v>
      </c>
      <c r="G10">
        <v>1</v>
      </c>
      <c r="H10">
        <v>5.7000000000000002E-3</v>
      </c>
      <c r="I10">
        <v>1</v>
      </c>
      <c r="J10">
        <v>20</v>
      </c>
      <c r="K10" t="s">
        <v>206</v>
      </c>
      <c r="L10">
        <v>1</v>
      </c>
      <c r="M10" t="s">
        <v>36</v>
      </c>
      <c r="N10" t="s">
        <v>37</v>
      </c>
      <c r="O10" t="s">
        <v>39</v>
      </c>
      <c r="P10" t="s">
        <v>182</v>
      </c>
    </row>
    <row r="12" spans="1:16" x14ac:dyDescent="0.35">
      <c r="A12" t="s">
        <v>8</v>
      </c>
      <c r="B12" t="s">
        <v>116</v>
      </c>
      <c r="C12">
        <v>365</v>
      </c>
      <c r="D12">
        <v>62</v>
      </c>
      <c r="E12">
        <v>5.9867000000000002E-3</v>
      </c>
      <c r="F12" t="s">
        <v>203</v>
      </c>
      <c r="G12">
        <v>1</v>
      </c>
      <c r="H12">
        <v>5.7000000000000002E-3</v>
      </c>
      <c r="I12">
        <v>1</v>
      </c>
      <c r="J12">
        <v>20</v>
      </c>
      <c r="K12" t="s">
        <v>206</v>
      </c>
      <c r="L12">
        <v>0</v>
      </c>
      <c r="M12" t="s">
        <v>117</v>
      </c>
      <c r="N12" t="s">
        <v>37</v>
      </c>
      <c r="O12" t="s">
        <v>118</v>
      </c>
      <c r="P12" t="s">
        <v>182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U2"/>
  <sheetViews>
    <sheetView topLeftCell="D1" workbookViewId="0">
      <selection activeCell="T7" sqref="T7"/>
    </sheetView>
  </sheetViews>
  <sheetFormatPr defaultRowHeight="14.5" x14ac:dyDescent="0.35"/>
  <cols>
    <col min="1" max="1" width="8.7265625" bestFit="1" customWidth="1"/>
    <col min="2" max="2" width="16" bestFit="1" customWidth="1"/>
    <col min="3" max="3" width="11.453125" bestFit="1" customWidth="1"/>
    <col min="4" max="4" width="8.453125" bestFit="1" customWidth="1"/>
    <col min="5" max="5" width="10" bestFit="1" customWidth="1"/>
    <col min="6" max="6" width="11.7265625" bestFit="1" customWidth="1"/>
    <col min="7" max="7" width="16.81640625" bestFit="1" customWidth="1"/>
    <col min="8" max="8" width="14.54296875" bestFit="1" customWidth="1"/>
    <col min="9" max="9" width="13.1796875" bestFit="1" customWidth="1"/>
    <col min="10" max="10" width="12" bestFit="1" customWidth="1"/>
    <col min="11" max="12" width="10.7265625" bestFit="1" customWidth="1"/>
    <col min="13" max="13" width="9" bestFit="1" customWidth="1"/>
    <col min="14" max="14" width="13.1796875" bestFit="1" customWidth="1"/>
    <col min="15" max="15" width="16" bestFit="1" customWidth="1"/>
    <col min="16" max="16" width="16.26953125" bestFit="1" customWidth="1"/>
    <col min="17" max="17" width="14" bestFit="1" customWidth="1"/>
    <col min="18" max="19" width="13.81640625" bestFit="1" customWidth="1"/>
    <col min="20" max="20" width="11.1796875" bestFit="1" customWidth="1"/>
    <col min="21" max="21" width="13.26953125" bestFit="1" customWidth="1"/>
  </cols>
  <sheetData>
    <row r="1" spans="1:21" s="2" customFormat="1" ht="64.5" customHeight="1" x14ac:dyDescent="0.35">
      <c r="A1" s="7" t="s">
        <v>4</v>
      </c>
      <c r="B1" s="7" t="s">
        <v>10</v>
      </c>
      <c r="C1" s="7" t="s">
        <v>121</v>
      </c>
      <c r="D1" s="7" t="s">
        <v>11</v>
      </c>
      <c r="E1" s="7" t="s">
        <v>12</v>
      </c>
      <c r="F1" s="6" t="s">
        <v>200</v>
      </c>
      <c r="G1" s="7" t="s">
        <v>7</v>
      </c>
      <c r="H1" s="7" t="s">
        <v>115</v>
      </c>
      <c r="I1" s="7" t="s">
        <v>126</v>
      </c>
      <c r="J1" s="7" t="s">
        <v>40</v>
      </c>
      <c r="K1" s="7" t="s">
        <v>127</v>
      </c>
      <c r="L1" s="7" t="s">
        <v>128</v>
      </c>
      <c r="M1" s="7" t="s">
        <v>41</v>
      </c>
      <c r="N1" s="7" t="s">
        <v>129</v>
      </c>
      <c r="O1" s="7" t="s">
        <v>130</v>
      </c>
      <c r="P1" s="7" t="s">
        <v>131</v>
      </c>
      <c r="Q1" s="7" t="s">
        <v>42</v>
      </c>
      <c r="R1" s="7" t="s">
        <v>132</v>
      </c>
      <c r="S1" s="7" t="s">
        <v>133</v>
      </c>
      <c r="T1" s="7" t="s">
        <v>43</v>
      </c>
      <c r="U1" s="7" t="s">
        <v>26</v>
      </c>
    </row>
    <row r="2" spans="1:21" x14ac:dyDescent="0.35">
      <c r="A2" t="s">
        <v>8</v>
      </c>
      <c r="B2" t="s">
        <v>44</v>
      </c>
      <c r="C2">
        <v>365</v>
      </c>
      <c r="D2">
        <v>100</v>
      </c>
      <c r="E2">
        <v>5.2342999999999999E-3</v>
      </c>
      <c r="F2" t="s">
        <v>201</v>
      </c>
      <c r="G2" t="s">
        <v>45</v>
      </c>
      <c r="H2" t="s">
        <v>20</v>
      </c>
      <c r="I2" t="b">
        <v>0</v>
      </c>
      <c r="J2">
        <v>0</v>
      </c>
      <c r="K2">
        <v>0</v>
      </c>
      <c r="L2">
        <v>0</v>
      </c>
      <c r="M2">
        <v>0.1</v>
      </c>
      <c r="N2" t="b">
        <v>0</v>
      </c>
      <c r="O2">
        <v>0</v>
      </c>
      <c r="P2">
        <v>0</v>
      </c>
      <c r="Q2">
        <v>0.1</v>
      </c>
      <c r="R2">
        <v>0</v>
      </c>
      <c r="S2">
        <v>0</v>
      </c>
      <c r="T2">
        <v>0.1</v>
      </c>
      <c r="U2" t="s">
        <v>182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3"/>
  <sheetViews>
    <sheetView topLeftCell="V1" workbookViewId="0">
      <selection activeCell="AA8" sqref="AA8"/>
    </sheetView>
  </sheetViews>
  <sheetFormatPr defaultColWidth="18.1796875" defaultRowHeight="14.5" x14ac:dyDescent="0.35"/>
  <cols>
    <col min="1" max="1" width="9.54296875" bestFit="1" customWidth="1"/>
    <col min="2" max="2" width="16" bestFit="1" customWidth="1"/>
    <col min="3" max="3" width="19.81640625" bestFit="1" customWidth="1"/>
    <col min="4" max="4" width="16.81640625" bestFit="1" customWidth="1"/>
    <col min="5" max="5" width="17.7265625" bestFit="1" customWidth="1"/>
    <col min="6" max="6" width="12.7265625" bestFit="1" customWidth="1"/>
    <col min="7" max="7" width="17.453125" bestFit="1" customWidth="1"/>
    <col min="8" max="8" width="16.81640625" bestFit="1" customWidth="1"/>
    <col min="9" max="9" width="17.26953125" bestFit="1" customWidth="1"/>
    <col min="10" max="10" width="15.7265625" bestFit="1" customWidth="1"/>
    <col min="11" max="11" width="16.26953125" bestFit="1" customWidth="1"/>
    <col min="12" max="12" width="13.81640625" bestFit="1" customWidth="1"/>
    <col min="13" max="13" width="15.81640625" bestFit="1" customWidth="1"/>
    <col min="14" max="14" width="16.1796875" bestFit="1" customWidth="1"/>
    <col min="15" max="15" width="15.7265625" bestFit="1" customWidth="1"/>
    <col min="16" max="18" width="16.81640625" bestFit="1" customWidth="1"/>
    <col min="19" max="19" width="15.81640625" bestFit="1" customWidth="1"/>
    <col min="20" max="20" width="16.1796875" bestFit="1" customWidth="1"/>
    <col min="21" max="21" width="15.7265625" bestFit="1" customWidth="1"/>
    <col min="22" max="24" width="16.81640625" bestFit="1" customWidth="1"/>
    <col min="25" max="25" width="17" bestFit="1" customWidth="1"/>
    <col min="26" max="26" width="17.453125" bestFit="1" customWidth="1"/>
    <col min="27" max="27" width="13.26953125" bestFit="1" customWidth="1"/>
    <col min="28" max="28" width="17" bestFit="1" customWidth="1"/>
    <col min="29" max="29" width="16.7265625" bestFit="1" customWidth="1"/>
    <col min="30" max="30" width="17" bestFit="1" customWidth="1"/>
    <col min="31" max="31" width="63.7265625" bestFit="1" customWidth="1"/>
    <col min="32" max="32" width="14" bestFit="1" customWidth="1"/>
  </cols>
  <sheetData>
    <row r="1" spans="1:32" s="2" customFormat="1" ht="58" x14ac:dyDescent="0.35">
      <c r="A1" s="8" t="s">
        <v>4</v>
      </c>
      <c r="B1" s="8" t="s">
        <v>7</v>
      </c>
      <c r="C1" s="8" t="s">
        <v>10</v>
      </c>
      <c r="D1" s="8" t="s">
        <v>200</v>
      </c>
      <c r="E1" s="8" t="s">
        <v>134</v>
      </c>
      <c r="F1" s="8" t="s">
        <v>135</v>
      </c>
      <c r="G1" s="8" t="s">
        <v>11</v>
      </c>
      <c r="H1" s="8" t="s">
        <v>121</v>
      </c>
      <c r="I1" s="8" t="s">
        <v>12</v>
      </c>
      <c r="J1" s="8" t="s">
        <v>46</v>
      </c>
      <c r="K1" s="8" t="s">
        <v>47</v>
      </c>
      <c r="L1" s="13" t="s">
        <v>183</v>
      </c>
      <c r="M1" s="8" t="s">
        <v>136</v>
      </c>
      <c r="N1" s="8" t="s">
        <v>137</v>
      </c>
      <c r="O1" s="8" t="s">
        <v>48</v>
      </c>
      <c r="P1" s="8" t="s">
        <v>138</v>
      </c>
      <c r="Q1" s="8" t="s">
        <v>139</v>
      </c>
      <c r="R1" s="8" t="s">
        <v>49</v>
      </c>
      <c r="S1" s="8" t="s">
        <v>184</v>
      </c>
      <c r="T1" s="8" t="s">
        <v>185</v>
      </c>
      <c r="U1" s="8" t="s">
        <v>186</v>
      </c>
      <c r="V1" s="8" t="s">
        <v>187</v>
      </c>
      <c r="W1" s="8" t="s">
        <v>188</v>
      </c>
      <c r="X1" s="8" t="s">
        <v>189</v>
      </c>
      <c r="Y1" s="8" t="s">
        <v>140</v>
      </c>
      <c r="Z1" s="8" t="s">
        <v>141</v>
      </c>
      <c r="AA1" s="8" t="s">
        <v>50</v>
      </c>
      <c r="AB1" s="8" t="s">
        <v>142</v>
      </c>
      <c r="AC1" s="8" t="s">
        <v>143</v>
      </c>
      <c r="AD1" s="8" t="s">
        <v>144</v>
      </c>
      <c r="AE1" s="8" t="s">
        <v>145</v>
      </c>
      <c r="AF1" s="8" t="s">
        <v>26</v>
      </c>
    </row>
    <row r="2" spans="1:32" x14ac:dyDescent="0.35">
      <c r="A2" t="s">
        <v>8</v>
      </c>
      <c r="B2" t="s">
        <v>51</v>
      </c>
      <c r="C2" t="s">
        <v>52</v>
      </c>
      <c r="D2" t="s">
        <v>201</v>
      </c>
      <c r="E2" t="s">
        <v>54</v>
      </c>
      <c r="F2" t="s">
        <v>56</v>
      </c>
      <c r="G2">
        <v>50</v>
      </c>
      <c r="H2">
        <v>365</v>
      </c>
      <c r="I2">
        <v>4.3276E-3</v>
      </c>
      <c r="J2">
        <v>1</v>
      </c>
      <c r="K2">
        <v>1</v>
      </c>
      <c r="L2" t="b">
        <v>1</v>
      </c>
      <c r="M2">
        <v>0</v>
      </c>
      <c r="N2">
        <v>365</v>
      </c>
      <c r="O2">
        <v>0.34166999999999997</v>
      </c>
      <c r="P2">
        <v>0</v>
      </c>
      <c r="Q2">
        <v>365</v>
      </c>
      <c r="R2">
        <v>0.14960999999999999</v>
      </c>
      <c r="S2">
        <v>3</v>
      </c>
      <c r="T2">
        <v>7</v>
      </c>
      <c r="U2">
        <v>0.34166999999999997</v>
      </c>
      <c r="V2">
        <v>3</v>
      </c>
      <c r="W2">
        <v>7</v>
      </c>
      <c r="X2">
        <v>0.14960999999999999</v>
      </c>
      <c r="Y2">
        <v>1</v>
      </c>
      <c r="Z2">
        <v>15</v>
      </c>
      <c r="AA2">
        <v>5.7000000000000002E-3</v>
      </c>
      <c r="AB2">
        <v>1</v>
      </c>
      <c r="AC2">
        <v>20</v>
      </c>
      <c r="AD2">
        <v>15</v>
      </c>
      <c r="AE2" t="s">
        <v>58</v>
      </c>
      <c r="AF2" t="s">
        <v>119</v>
      </c>
    </row>
    <row r="3" spans="1:32" x14ac:dyDescent="0.35">
      <c r="A3" t="s">
        <v>8</v>
      </c>
      <c r="B3" t="s">
        <v>51</v>
      </c>
      <c r="C3" t="s">
        <v>53</v>
      </c>
      <c r="D3" t="s">
        <v>201</v>
      </c>
      <c r="E3" t="s">
        <v>55</v>
      </c>
      <c r="F3" t="s">
        <v>57</v>
      </c>
      <c r="G3">
        <v>50</v>
      </c>
      <c r="H3">
        <v>365</v>
      </c>
      <c r="I3">
        <v>4.3276E-3</v>
      </c>
      <c r="J3">
        <v>1</v>
      </c>
      <c r="K3">
        <v>1</v>
      </c>
      <c r="L3" t="b">
        <v>1</v>
      </c>
      <c r="M3">
        <v>0</v>
      </c>
      <c r="N3">
        <v>365</v>
      </c>
      <c r="O3">
        <v>0.34166999999999997</v>
      </c>
      <c r="P3">
        <v>0</v>
      </c>
      <c r="Q3">
        <v>365</v>
      </c>
      <c r="R3">
        <v>0.14960999999999999</v>
      </c>
      <c r="S3">
        <v>3</v>
      </c>
      <c r="T3">
        <v>7</v>
      </c>
      <c r="U3">
        <v>0.34166999999999997</v>
      </c>
      <c r="V3">
        <v>3</v>
      </c>
      <c r="W3">
        <v>7</v>
      </c>
      <c r="X3">
        <v>0.14960999999999999</v>
      </c>
      <c r="Y3">
        <v>1</v>
      </c>
      <c r="Z3">
        <v>15</v>
      </c>
      <c r="AA3">
        <v>5.7000000000000002E-3</v>
      </c>
      <c r="AB3">
        <v>1</v>
      </c>
      <c r="AC3">
        <v>20</v>
      </c>
      <c r="AD3">
        <v>15</v>
      </c>
      <c r="AE3" t="s">
        <v>199</v>
      </c>
      <c r="AF3" t="s">
        <v>119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B2"/>
  <sheetViews>
    <sheetView topLeftCell="AO1" workbookViewId="0">
      <selection activeCell="K11" sqref="K11"/>
    </sheetView>
  </sheetViews>
  <sheetFormatPr defaultRowHeight="14.5" x14ac:dyDescent="0.35"/>
  <cols>
    <col min="1" max="1" width="8.7265625" bestFit="1" customWidth="1"/>
    <col min="2" max="2" width="7.1796875" bestFit="1" customWidth="1"/>
    <col min="3" max="3" width="11.453125" bestFit="1" customWidth="1"/>
    <col min="4" max="4" width="9.54296875" bestFit="1" customWidth="1"/>
    <col min="5" max="5" width="8.453125" bestFit="1" customWidth="1"/>
    <col min="6" max="6" width="11.7265625" bestFit="1" customWidth="1"/>
    <col min="7" max="7" width="11.1796875" bestFit="1" customWidth="1"/>
    <col min="8" max="8" width="8.81640625" bestFit="1" customWidth="1"/>
    <col min="9" max="9" width="13.54296875" bestFit="1" customWidth="1"/>
    <col min="10" max="10" width="11.54296875" bestFit="1" customWidth="1"/>
    <col min="11" max="11" width="17.1796875" customWidth="1"/>
    <col min="12" max="12" width="8.54296875" bestFit="1" customWidth="1"/>
    <col min="13" max="13" width="14.26953125" bestFit="1" customWidth="1"/>
    <col min="14" max="14" width="16.453125" bestFit="1" customWidth="1"/>
    <col min="15" max="15" width="8.26953125" bestFit="1" customWidth="1"/>
    <col min="16" max="16" width="12" bestFit="1" customWidth="1"/>
    <col min="17" max="17" width="9.81640625" bestFit="1" customWidth="1"/>
    <col min="18" max="18" width="10.453125" bestFit="1" customWidth="1"/>
    <col min="19" max="19" width="11.26953125" bestFit="1" customWidth="1"/>
    <col min="20" max="20" width="11.453125" bestFit="1" customWidth="1"/>
    <col min="21" max="21" width="10.26953125" bestFit="1" customWidth="1"/>
    <col min="22" max="22" width="11.453125" bestFit="1" customWidth="1"/>
    <col min="23" max="23" width="12.453125" bestFit="1" customWidth="1"/>
    <col min="24" max="24" width="11.453125" bestFit="1" customWidth="1"/>
    <col min="25" max="25" width="13.1796875" bestFit="1" customWidth="1"/>
    <col min="26" max="26" width="11.453125" bestFit="1" customWidth="1"/>
    <col min="27" max="28" width="10.453125" bestFit="1" customWidth="1"/>
    <col min="29" max="29" width="10.81640625" bestFit="1" customWidth="1"/>
    <col min="30" max="30" width="10.7265625" bestFit="1" customWidth="1"/>
    <col min="31" max="31" width="15" bestFit="1" customWidth="1"/>
    <col min="32" max="34" width="11" bestFit="1" customWidth="1"/>
    <col min="35" max="35" width="11.453125" bestFit="1" customWidth="1"/>
    <col min="36" max="36" width="10" bestFit="1" customWidth="1"/>
    <col min="37" max="37" width="10.26953125" bestFit="1" customWidth="1"/>
    <col min="38" max="38" width="9.453125" bestFit="1" customWidth="1"/>
    <col min="39" max="39" width="15" bestFit="1" customWidth="1"/>
    <col min="40" max="41" width="13.81640625" bestFit="1" customWidth="1"/>
    <col min="42" max="42" width="10.7265625" bestFit="1" customWidth="1"/>
    <col min="43" max="46" width="11.7265625" bestFit="1" customWidth="1"/>
    <col min="47" max="47" width="17.453125" bestFit="1" customWidth="1"/>
    <col min="48" max="49" width="15" bestFit="1" customWidth="1"/>
    <col min="50" max="50" width="14" bestFit="1" customWidth="1"/>
    <col min="51" max="51" width="16" bestFit="1" customWidth="1"/>
    <col min="52" max="53" width="14.54296875" bestFit="1" customWidth="1"/>
    <col min="54" max="54" width="29.26953125" bestFit="1" customWidth="1"/>
  </cols>
  <sheetData>
    <row r="1" spans="1:54" s="2" customFormat="1" ht="58" x14ac:dyDescent="0.35">
      <c r="A1" s="8" t="s">
        <v>4</v>
      </c>
      <c r="B1" s="8" t="s">
        <v>10</v>
      </c>
      <c r="C1" s="8" t="s">
        <v>121</v>
      </c>
      <c r="D1" s="8" t="s">
        <v>11</v>
      </c>
      <c r="E1" s="8" t="s">
        <v>12</v>
      </c>
      <c r="F1" s="8" t="s">
        <v>200</v>
      </c>
      <c r="G1" s="8" t="s">
        <v>146</v>
      </c>
      <c r="H1" s="8" t="s">
        <v>147</v>
      </c>
      <c r="I1" s="8" t="s">
        <v>148</v>
      </c>
      <c r="J1" s="8" t="s">
        <v>190</v>
      </c>
      <c r="K1" s="9" t="s">
        <v>191</v>
      </c>
      <c r="L1" s="8" t="s">
        <v>59</v>
      </c>
      <c r="M1" s="8" t="s">
        <v>60</v>
      </c>
      <c r="N1" s="8" t="s">
        <v>149</v>
      </c>
      <c r="O1" s="8" t="s">
        <v>61</v>
      </c>
      <c r="P1" s="8" t="s">
        <v>62</v>
      </c>
      <c r="Q1" s="8" t="s">
        <v>63</v>
      </c>
      <c r="R1" s="8" t="s">
        <v>64</v>
      </c>
      <c r="S1" s="8" t="s">
        <v>150</v>
      </c>
      <c r="T1" s="8" t="s">
        <v>151</v>
      </c>
      <c r="U1" s="8" t="s">
        <v>152</v>
      </c>
      <c r="V1" s="8" t="s">
        <v>153</v>
      </c>
      <c r="W1" s="8" t="s">
        <v>154</v>
      </c>
      <c r="X1" s="8" t="s">
        <v>155</v>
      </c>
      <c r="Y1" s="8" t="s">
        <v>156</v>
      </c>
      <c r="Z1" s="8" t="s">
        <v>65</v>
      </c>
      <c r="AA1" s="8" t="s">
        <v>157</v>
      </c>
      <c r="AB1" s="8" t="s">
        <v>158</v>
      </c>
      <c r="AC1" s="8" t="s">
        <v>66</v>
      </c>
      <c r="AD1" s="8" t="s">
        <v>159</v>
      </c>
      <c r="AE1" s="8" t="s">
        <v>67</v>
      </c>
      <c r="AF1" s="8" t="s">
        <v>160</v>
      </c>
      <c r="AG1" s="8" t="s">
        <v>161</v>
      </c>
      <c r="AH1" s="8" t="s">
        <v>68</v>
      </c>
      <c r="AI1" s="8" t="s">
        <v>69</v>
      </c>
      <c r="AJ1" s="8" t="s">
        <v>162</v>
      </c>
      <c r="AK1" s="8" t="s">
        <v>163</v>
      </c>
      <c r="AL1" s="8" t="s">
        <v>70</v>
      </c>
      <c r="AM1" s="8" t="s">
        <v>71</v>
      </c>
      <c r="AN1" s="8" t="s">
        <v>164</v>
      </c>
      <c r="AO1" s="8" t="s">
        <v>165</v>
      </c>
      <c r="AP1" s="8" t="s">
        <v>72</v>
      </c>
      <c r="AQ1" s="8" t="s">
        <v>73</v>
      </c>
      <c r="AR1" s="8" t="s">
        <v>166</v>
      </c>
      <c r="AS1" s="8" t="s">
        <v>167</v>
      </c>
      <c r="AT1" s="8" t="s">
        <v>74</v>
      </c>
      <c r="AU1" s="8" t="s">
        <v>75</v>
      </c>
      <c r="AV1" s="8" t="s">
        <v>168</v>
      </c>
      <c r="AW1" s="8" t="s">
        <v>169</v>
      </c>
      <c r="AX1" s="8" t="s">
        <v>76</v>
      </c>
      <c r="AY1" s="8" t="s">
        <v>7</v>
      </c>
      <c r="AZ1" s="8" t="s">
        <v>145</v>
      </c>
      <c r="BA1" s="8" t="s">
        <v>77</v>
      </c>
      <c r="BB1" s="8" t="s">
        <v>26</v>
      </c>
    </row>
    <row r="2" spans="1:54" x14ac:dyDescent="0.35">
      <c r="A2" t="s">
        <v>8</v>
      </c>
      <c r="B2" t="s">
        <v>78</v>
      </c>
      <c r="C2">
        <v>45</v>
      </c>
      <c r="D2">
        <v>365</v>
      </c>
      <c r="E2">
        <v>5.9867000000000002E-3</v>
      </c>
      <c r="F2" t="s">
        <v>201</v>
      </c>
      <c r="G2" t="s">
        <v>79</v>
      </c>
      <c r="H2">
        <v>32.4</v>
      </c>
      <c r="I2" t="s">
        <v>80</v>
      </c>
      <c r="J2">
        <v>0.8</v>
      </c>
      <c r="L2">
        <v>0.35</v>
      </c>
      <c r="M2" t="s">
        <v>192</v>
      </c>
      <c r="N2" t="s">
        <v>81</v>
      </c>
      <c r="O2">
        <v>0.9</v>
      </c>
      <c r="P2">
        <v>3.5000000000000003E-2</v>
      </c>
      <c r="Q2">
        <v>0.95</v>
      </c>
      <c r="R2">
        <v>0.75</v>
      </c>
      <c r="S2">
        <v>504</v>
      </c>
      <c r="T2">
        <v>1008</v>
      </c>
      <c r="U2" t="s">
        <v>82</v>
      </c>
      <c r="V2">
        <v>3</v>
      </c>
      <c r="W2">
        <v>0</v>
      </c>
      <c r="X2">
        <v>90</v>
      </c>
      <c r="Y2" s="14">
        <f>3422.9/65</f>
        <v>52.660000000000004</v>
      </c>
      <c r="Z2">
        <v>1</v>
      </c>
      <c r="AA2">
        <v>0</v>
      </c>
      <c r="AB2">
        <v>182.5</v>
      </c>
      <c r="AC2">
        <v>0.21634999999999999</v>
      </c>
      <c r="AD2" t="b">
        <v>0</v>
      </c>
      <c r="AE2">
        <v>1</v>
      </c>
      <c r="AF2">
        <v>0</v>
      </c>
      <c r="AG2">
        <v>182.5</v>
      </c>
      <c r="AH2" s="5">
        <v>9.9999999999999995E-7</v>
      </c>
      <c r="AI2">
        <v>1</v>
      </c>
      <c r="AJ2">
        <v>0</v>
      </c>
      <c r="AK2">
        <v>182.5</v>
      </c>
      <c r="AL2">
        <v>0.47815999999999997</v>
      </c>
      <c r="AM2">
        <v>1</v>
      </c>
      <c r="AN2">
        <v>0</v>
      </c>
      <c r="AO2">
        <v>121.66670000000001</v>
      </c>
      <c r="AP2" s="5">
        <v>9.9999999999999995E-7</v>
      </c>
      <c r="AQ2">
        <v>1</v>
      </c>
      <c r="AR2">
        <v>0</v>
      </c>
      <c r="AS2">
        <v>182.5</v>
      </c>
      <c r="AT2">
        <v>0.11268</v>
      </c>
      <c r="AU2">
        <v>1</v>
      </c>
      <c r="AV2">
        <v>0</v>
      </c>
      <c r="AW2">
        <v>121.66670000000001</v>
      </c>
      <c r="AX2">
        <v>2.7855000000000002E-3</v>
      </c>
      <c r="AY2" t="s">
        <v>83</v>
      </c>
      <c r="AZ2" t="s">
        <v>20</v>
      </c>
      <c r="BA2" t="s">
        <v>20</v>
      </c>
      <c r="BB2" t="s">
        <v>193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2"/>
  <sheetViews>
    <sheetView topLeftCell="B1" workbookViewId="0">
      <selection activeCell="O24" sqref="O24"/>
    </sheetView>
  </sheetViews>
  <sheetFormatPr defaultRowHeight="14.5" x14ac:dyDescent="0.35"/>
  <cols>
    <col min="3" max="5" width="12.1796875" customWidth="1"/>
    <col min="6" max="6" width="13.54296875" customWidth="1"/>
    <col min="7" max="19" width="12.1796875" customWidth="1"/>
  </cols>
  <sheetData>
    <row r="1" spans="1:19" s="2" customFormat="1" ht="58" x14ac:dyDescent="0.35">
      <c r="A1" s="8" t="s">
        <v>4</v>
      </c>
      <c r="B1" s="8" t="s">
        <v>10</v>
      </c>
      <c r="C1" s="8" t="s">
        <v>11</v>
      </c>
      <c r="D1" s="8" t="s">
        <v>121</v>
      </c>
      <c r="E1" s="8" t="s">
        <v>12</v>
      </c>
      <c r="F1" s="8" t="s">
        <v>84</v>
      </c>
      <c r="G1" s="8" t="s">
        <v>170</v>
      </c>
      <c r="H1" s="8" t="s">
        <v>171</v>
      </c>
      <c r="I1" s="8" t="s">
        <v>85</v>
      </c>
      <c r="J1" s="8" t="s">
        <v>86</v>
      </c>
      <c r="K1" s="8" t="s">
        <v>172</v>
      </c>
      <c r="L1" s="8" t="s">
        <v>173</v>
      </c>
      <c r="M1" s="8" t="s">
        <v>87</v>
      </c>
      <c r="N1" s="8" t="s">
        <v>174</v>
      </c>
      <c r="O1" s="8" t="s">
        <v>175</v>
      </c>
      <c r="P1" s="8" t="s">
        <v>88</v>
      </c>
      <c r="Q1" s="8" t="s">
        <v>7</v>
      </c>
      <c r="R1" s="8" t="s">
        <v>145</v>
      </c>
      <c r="S1" s="8" t="s">
        <v>26</v>
      </c>
    </row>
    <row r="2" spans="1:19" x14ac:dyDescent="0.35">
      <c r="A2" t="s">
        <v>8</v>
      </c>
      <c r="B2" t="s">
        <v>89</v>
      </c>
      <c r="C2">
        <v>45</v>
      </c>
      <c r="D2">
        <v>365</v>
      </c>
      <c r="E2">
        <v>5.2342999999999999E-3</v>
      </c>
      <c r="F2">
        <v>0.64</v>
      </c>
      <c r="G2">
        <v>1</v>
      </c>
      <c r="H2">
        <v>7</v>
      </c>
      <c r="I2">
        <v>0.9</v>
      </c>
      <c r="J2">
        <v>0.36</v>
      </c>
      <c r="K2">
        <v>1</v>
      </c>
      <c r="L2">
        <v>3</v>
      </c>
      <c r="M2">
        <v>0</v>
      </c>
      <c r="N2">
        <v>30</v>
      </c>
      <c r="O2">
        <v>90</v>
      </c>
      <c r="P2">
        <v>0.98</v>
      </c>
      <c r="Q2" t="s">
        <v>90</v>
      </c>
      <c r="R2" t="s">
        <v>20</v>
      </c>
      <c r="S2" t="s">
        <v>182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73"/>
  <sheetViews>
    <sheetView tabSelected="1" topLeftCell="A43" workbookViewId="0">
      <selection activeCell="C77" sqref="C77"/>
    </sheetView>
  </sheetViews>
  <sheetFormatPr defaultRowHeight="14.5" x14ac:dyDescent="0.35"/>
  <cols>
    <col min="1" max="1" width="9.81640625" bestFit="1" customWidth="1"/>
    <col min="2" max="2" width="14.26953125" bestFit="1" customWidth="1"/>
    <col min="3" max="3" width="19" bestFit="1" customWidth="1"/>
    <col min="4" max="4" width="12.7265625" bestFit="1" customWidth="1"/>
    <col min="5" max="5" width="18.7265625" bestFit="1" customWidth="1"/>
    <col min="6" max="6" width="10.7265625" bestFit="1" customWidth="1"/>
    <col min="7" max="7" width="22" bestFit="1" customWidth="1"/>
  </cols>
  <sheetData>
    <row r="1" spans="1:7" x14ac:dyDescent="0.35">
      <c r="A1" s="1" t="s">
        <v>7</v>
      </c>
      <c r="B1" s="1" t="s">
        <v>91</v>
      </c>
      <c r="C1" s="1" t="s">
        <v>92</v>
      </c>
      <c r="D1" s="1" t="s">
        <v>93</v>
      </c>
      <c r="E1" s="1" t="s">
        <v>94</v>
      </c>
      <c r="F1" s="1" t="s">
        <v>95</v>
      </c>
      <c r="G1" s="1" t="s">
        <v>96</v>
      </c>
    </row>
    <row r="2" spans="1:7" x14ac:dyDescent="0.35">
      <c r="A2" t="s">
        <v>97</v>
      </c>
      <c r="B2" t="s">
        <v>8</v>
      </c>
      <c r="C2" t="s">
        <v>15</v>
      </c>
      <c r="D2" t="s">
        <v>8</v>
      </c>
      <c r="E2" t="s">
        <v>27</v>
      </c>
      <c r="F2" t="s">
        <v>57</v>
      </c>
    </row>
    <row r="3" spans="1:7" x14ac:dyDescent="0.35">
      <c r="A3" t="s">
        <v>97</v>
      </c>
      <c r="B3" t="s">
        <v>8</v>
      </c>
      <c r="C3" t="s">
        <v>15</v>
      </c>
      <c r="D3" t="s">
        <v>8</v>
      </c>
      <c r="E3" t="s">
        <v>27</v>
      </c>
      <c r="F3" t="s">
        <v>56</v>
      </c>
    </row>
    <row r="4" spans="1:7" x14ac:dyDescent="0.35">
      <c r="A4" t="s">
        <v>97</v>
      </c>
      <c r="B4" t="s">
        <v>8</v>
      </c>
      <c r="C4" t="s">
        <v>16</v>
      </c>
      <c r="D4" t="s">
        <v>8</v>
      </c>
      <c r="E4" t="s">
        <v>28</v>
      </c>
      <c r="F4" t="s">
        <v>57</v>
      </c>
    </row>
    <row r="5" spans="1:7" x14ac:dyDescent="0.35">
      <c r="A5" t="s">
        <v>97</v>
      </c>
      <c r="B5" t="s">
        <v>8</v>
      </c>
      <c r="C5" t="s">
        <v>16</v>
      </c>
      <c r="D5" t="s">
        <v>8</v>
      </c>
      <c r="E5" t="s">
        <v>28</v>
      </c>
      <c r="F5" t="s">
        <v>56</v>
      </c>
    </row>
    <row r="6" spans="1:7" x14ac:dyDescent="0.35">
      <c r="A6" t="s">
        <v>97</v>
      </c>
      <c r="B6" t="s">
        <v>8</v>
      </c>
      <c r="C6" t="s">
        <v>17</v>
      </c>
      <c r="D6" t="s">
        <v>8</v>
      </c>
      <c r="E6" t="s">
        <v>29</v>
      </c>
      <c r="F6" t="s">
        <v>57</v>
      </c>
    </row>
    <row r="7" spans="1:7" x14ac:dyDescent="0.35">
      <c r="A7" t="s">
        <v>97</v>
      </c>
      <c r="B7" t="s">
        <v>8</v>
      </c>
      <c r="C7" t="s">
        <v>17</v>
      </c>
      <c r="D7" t="s">
        <v>8</v>
      </c>
      <c r="E7" t="s">
        <v>29</v>
      </c>
      <c r="F7" t="s">
        <v>56</v>
      </c>
    </row>
    <row r="8" spans="1:7" x14ac:dyDescent="0.35">
      <c r="A8" t="s">
        <v>97</v>
      </c>
      <c r="B8" t="s">
        <v>8</v>
      </c>
      <c r="C8" t="s">
        <v>18</v>
      </c>
      <c r="D8" t="s">
        <v>8</v>
      </c>
      <c r="E8" t="s">
        <v>30</v>
      </c>
      <c r="F8" t="s">
        <v>57</v>
      </c>
    </row>
    <row r="9" spans="1:7" x14ac:dyDescent="0.35">
      <c r="A9" t="s">
        <v>97</v>
      </c>
      <c r="B9" t="s">
        <v>8</v>
      </c>
      <c r="C9" t="s">
        <v>18</v>
      </c>
      <c r="D9" t="s">
        <v>8</v>
      </c>
      <c r="E9" t="s">
        <v>30</v>
      </c>
      <c r="F9" t="s">
        <v>56</v>
      </c>
    </row>
    <row r="11" spans="1:7" x14ac:dyDescent="0.35">
      <c r="A11" t="s">
        <v>97</v>
      </c>
      <c r="B11" t="s">
        <v>8</v>
      </c>
      <c r="C11" t="s">
        <v>27</v>
      </c>
      <c r="D11" t="s">
        <v>8</v>
      </c>
      <c r="E11" t="s">
        <v>31</v>
      </c>
      <c r="F11" t="s">
        <v>57</v>
      </c>
      <c r="G11" t="s">
        <v>99</v>
      </c>
    </row>
    <row r="12" spans="1:7" x14ac:dyDescent="0.35">
      <c r="A12" t="s">
        <v>97</v>
      </c>
      <c r="B12" t="s">
        <v>8</v>
      </c>
      <c r="C12" t="s">
        <v>27</v>
      </c>
      <c r="D12" t="s">
        <v>8</v>
      </c>
      <c r="E12" t="s">
        <v>31</v>
      </c>
      <c r="F12" t="s">
        <v>56</v>
      </c>
      <c r="G12" t="s">
        <v>100</v>
      </c>
    </row>
    <row r="13" spans="1:7" x14ac:dyDescent="0.35">
      <c r="A13" t="s">
        <v>97</v>
      </c>
      <c r="B13" t="s">
        <v>8</v>
      </c>
      <c r="C13" t="s">
        <v>27</v>
      </c>
      <c r="D13" t="s">
        <v>8</v>
      </c>
      <c r="E13" t="s">
        <v>31</v>
      </c>
      <c r="F13" t="s">
        <v>98</v>
      </c>
      <c r="G13" t="s">
        <v>101</v>
      </c>
    </row>
    <row r="14" spans="1:7" x14ac:dyDescent="0.35">
      <c r="A14" t="s">
        <v>97</v>
      </c>
      <c r="B14" t="s">
        <v>8</v>
      </c>
      <c r="C14" t="s">
        <v>27</v>
      </c>
      <c r="D14" t="s">
        <v>8</v>
      </c>
      <c r="E14" t="s">
        <v>31</v>
      </c>
      <c r="F14" t="s">
        <v>98</v>
      </c>
      <c r="G14" t="s">
        <v>102</v>
      </c>
    </row>
    <row r="15" spans="1:7" x14ac:dyDescent="0.35">
      <c r="A15" t="s">
        <v>97</v>
      </c>
      <c r="B15" t="s">
        <v>8</v>
      </c>
      <c r="C15" t="s">
        <v>28</v>
      </c>
      <c r="D15" t="s">
        <v>8</v>
      </c>
      <c r="E15" t="s">
        <v>32</v>
      </c>
      <c r="F15" t="s">
        <v>57</v>
      </c>
      <c r="G15" t="s">
        <v>99</v>
      </c>
    </row>
    <row r="16" spans="1:7" x14ac:dyDescent="0.35">
      <c r="A16" t="s">
        <v>97</v>
      </c>
      <c r="B16" t="s">
        <v>8</v>
      </c>
      <c r="C16" t="s">
        <v>28</v>
      </c>
      <c r="D16" t="s">
        <v>8</v>
      </c>
      <c r="E16" t="s">
        <v>32</v>
      </c>
      <c r="F16" t="s">
        <v>56</v>
      </c>
      <c r="G16" t="s">
        <v>100</v>
      </c>
    </row>
    <row r="17" spans="1:7" x14ac:dyDescent="0.35">
      <c r="A17" t="s">
        <v>97</v>
      </c>
      <c r="B17" t="s">
        <v>8</v>
      </c>
      <c r="C17" t="s">
        <v>28</v>
      </c>
      <c r="D17" t="s">
        <v>8</v>
      </c>
      <c r="E17" t="s">
        <v>32</v>
      </c>
      <c r="F17" t="s">
        <v>98</v>
      </c>
      <c r="G17" t="s">
        <v>101</v>
      </c>
    </row>
    <row r="18" spans="1:7" x14ac:dyDescent="0.35">
      <c r="A18" t="s">
        <v>97</v>
      </c>
      <c r="B18" t="s">
        <v>8</v>
      </c>
      <c r="C18" t="s">
        <v>28</v>
      </c>
      <c r="D18" t="s">
        <v>8</v>
      </c>
      <c r="E18" t="s">
        <v>32</v>
      </c>
      <c r="F18" t="s">
        <v>98</v>
      </c>
      <c r="G18" t="s">
        <v>102</v>
      </c>
    </row>
    <row r="19" spans="1:7" x14ac:dyDescent="0.35">
      <c r="A19" t="s">
        <v>97</v>
      </c>
      <c r="B19" t="s">
        <v>8</v>
      </c>
      <c r="C19" t="s">
        <v>29</v>
      </c>
      <c r="D19" t="s">
        <v>8</v>
      </c>
      <c r="E19" t="s">
        <v>33</v>
      </c>
      <c r="F19" t="s">
        <v>57</v>
      </c>
      <c r="G19" t="s">
        <v>99</v>
      </c>
    </row>
    <row r="20" spans="1:7" x14ac:dyDescent="0.35">
      <c r="A20" t="s">
        <v>97</v>
      </c>
      <c r="B20" t="s">
        <v>8</v>
      </c>
      <c r="C20" t="s">
        <v>29</v>
      </c>
      <c r="D20" t="s">
        <v>8</v>
      </c>
      <c r="E20" t="s">
        <v>33</v>
      </c>
      <c r="F20" t="s">
        <v>56</v>
      </c>
      <c r="G20" t="s">
        <v>100</v>
      </c>
    </row>
    <row r="21" spans="1:7" x14ac:dyDescent="0.35">
      <c r="A21" t="s">
        <v>97</v>
      </c>
      <c r="B21" t="s">
        <v>8</v>
      </c>
      <c r="C21" t="s">
        <v>29</v>
      </c>
      <c r="D21" t="s">
        <v>8</v>
      </c>
      <c r="E21" t="s">
        <v>33</v>
      </c>
      <c r="F21" t="s">
        <v>98</v>
      </c>
      <c r="G21" t="s">
        <v>101</v>
      </c>
    </row>
    <row r="22" spans="1:7" x14ac:dyDescent="0.35">
      <c r="A22" t="s">
        <v>97</v>
      </c>
      <c r="B22" t="s">
        <v>8</v>
      </c>
      <c r="C22" t="s">
        <v>29</v>
      </c>
      <c r="D22" t="s">
        <v>8</v>
      </c>
      <c r="E22" t="s">
        <v>33</v>
      </c>
      <c r="F22" t="s">
        <v>98</v>
      </c>
      <c r="G22" t="s">
        <v>102</v>
      </c>
    </row>
    <row r="23" spans="1:7" x14ac:dyDescent="0.35">
      <c r="A23" t="s">
        <v>97</v>
      </c>
      <c r="B23" t="s">
        <v>8</v>
      </c>
      <c r="C23" t="s">
        <v>30</v>
      </c>
      <c r="D23" t="s">
        <v>8</v>
      </c>
      <c r="E23" t="s">
        <v>34</v>
      </c>
      <c r="F23" t="s">
        <v>57</v>
      </c>
      <c r="G23" t="s">
        <v>99</v>
      </c>
    </row>
    <row r="24" spans="1:7" x14ac:dyDescent="0.35">
      <c r="A24" t="s">
        <v>97</v>
      </c>
      <c r="B24" t="s">
        <v>8</v>
      </c>
      <c r="C24" t="s">
        <v>30</v>
      </c>
      <c r="D24" t="s">
        <v>8</v>
      </c>
      <c r="E24" t="s">
        <v>34</v>
      </c>
      <c r="F24" t="s">
        <v>56</v>
      </c>
      <c r="G24" t="s">
        <v>100</v>
      </c>
    </row>
    <row r="25" spans="1:7" x14ac:dyDescent="0.35">
      <c r="A25" t="s">
        <v>97</v>
      </c>
      <c r="B25" t="s">
        <v>8</v>
      </c>
      <c r="C25" t="s">
        <v>30</v>
      </c>
      <c r="D25" t="s">
        <v>8</v>
      </c>
      <c r="E25" t="s">
        <v>34</v>
      </c>
      <c r="F25" t="s">
        <v>98</v>
      </c>
      <c r="G25" t="s">
        <v>101</v>
      </c>
    </row>
    <row r="26" spans="1:7" x14ac:dyDescent="0.35">
      <c r="A26" t="s">
        <v>97</v>
      </c>
      <c r="B26" t="s">
        <v>8</v>
      </c>
      <c r="C26" t="s">
        <v>30</v>
      </c>
      <c r="D26" t="s">
        <v>8</v>
      </c>
      <c r="E26" t="s">
        <v>34</v>
      </c>
      <c r="F26" t="s">
        <v>98</v>
      </c>
      <c r="G26" t="s">
        <v>102</v>
      </c>
    </row>
    <row r="28" spans="1:7" x14ac:dyDescent="0.35">
      <c r="A28" t="s">
        <v>97</v>
      </c>
      <c r="B28" t="s">
        <v>8</v>
      </c>
      <c r="C28" t="s">
        <v>31</v>
      </c>
      <c r="D28" t="s">
        <v>8</v>
      </c>
      <c r="E28" t="s">
        <v>116</v>
      </c>
      <c r="F28" t="s">
        <v>57</v>
      </c>
      <c r="G28" t="s">
        <v>99</v>
      </c>
    </row>
    <row r="29" spans="1:7" x14ac:dyDescent="0.35">
      <c r="A29" t="s">
        <v>97</v>
      </c>
      <c r="B29" t="s">
        <v>8</v>
      </c>
      <c r="C29" t="s">
        <v>31</v>
      </c>
      <c r="D29" t="s">
        <v>8</v>
      </c>
      <c r="E29" t="s">
        <v>116</v>
      </c>
      <c r="F29" t="s">
        <v>98</v>
      </c>
      <c r="G29" t="s">
        <v>103</v>
      </c>
    </row>
    <row r="30" spans="1:7" x14ac:dyDescent="0.35">
      <c r="A30" t="s">
        <v>97</v>
      </c>
      <c r="B30" t="s">
        <v>8</v>
      </c>
      <c r="C30" t="s">
        <v>31</v>
      </c>
      <c r="D30" t="s">
        <v>8</v>
      </c>
      <c r="E30" t="s">
        <v>116</v>
      </c>
      <c r="F30" t="s">
        <v>98</v>
      </c>
      <c r="G30" t="s">
        <v>101</v>
      </c>
    </row>
    <row r="31" spans="1:7" x14ac:dyDescent="0.35">
      <c r="A31" t="s">
        <v>97</v>
      </c>
      <c r="B31" t="s">
        <v>8</v>
      </c>
      <c r="C31" t="s">
        <v>31</v>
      </c>
      <c r="D31" t="s">
        <v>8</v>
      </c>
      <c r="E31" t="s">
        <v>116</v>
      </c>
      <c r="F31" t="s">
        <v>98</v>
      </c>
      <c r="G31" t="s">
        <v>102</v>
      </c>
    </row>
    <row r="32" spans="1:7" x14ac:dyDescent="0.35">
      <c r="A32" t="s">
        <v>97</v>
      </c>
      <c r="B32" t="s">
        <v>8</v>
      </c>
      <c r="C32" t="s">
        <v>31</v>
      </c>
      <c r="D32" t="s">
        <v>8</v>
      </c>
      <c r="E32" t="s">
        <v>52</v>
      </c>
      <c r="F32" t="s">
        <v>56</v>
      </c>
      <c r="G32" t="s">
        <v>100</v>
      </c>
    </row>
    <row r="33" spans="1:7" x14ac:dyDescent="0.35">
      <c r="A33" t="s">
        <v>97</v>
      </c>
      <c r="B33" t="s">
        <v>8</v>
      </c>
      <c r="C33" t="s">
        <v>32</v>
      </c>
      <c r="D33" t="s">
        <v>8</v>
      </c>
      <c r="E33" t="s">
        <v>116</v>
      </c>
      <c r="F33" t="s">
        <v>57</v>
      </c>
      <c r="G33" t="s">
        <v>99</v>
      </c>
    </row>
    <row r="34" spans="1:7" x14ac:dyDescent="0.35">
      <c r="A34" t="s">
        <v>97</v>
      </c>
      <c r="B34" t="s">
        <v>8</v>
      </c>
      <c r="C34" t="s">
        <v>32</v>
      </c>
      <c r="D34" t="s">
        <v>8</v>
      </c>
      <c r="E34" t="s">
        <v>116</v>
      </c>
      <c r="F34" t="s">
        <v>98</v>
      </c>
      <c r="G34" t="s">
        <v>103</v>
      </c>
    </row>
    <row r="35" spans="1:7" x14ac:dyDescent="0.35">
      <c r="A35" t="s">
        <v>97</v>
      </c>
      <c r="B35" t="s">
        <v>8</v>
      </c>
      <c r="C35" t="s">
        <v>32</v>
      </c>
      <c r="D35" t="s">
        <v>8</v>
      </c>
      <c r="E35" t="s">
        <v>116</v>
      </c>
      <c r="F35" t="s">
        <v>98</v>
      </c>
      <c r="G35" t="s">
        <v>101</v>
      </c>
    </row>
    <row r="36" spans="1:7" x14ac:dyDescent="0.35">
      <c r="A36" t="s">
        <v>97</v>
      </c>
      <c r="B36" t="s">
        <v>8</v>
      </c>
      <c r="C36" t="s">
        <v>32</v>
      </c>
      <c r="D36" t="s">
        <v>8</v>
      </c>
      <c r="E36" t="s">
        <v>116</v>
      </c>
      <c r="F36" t="s">
        <v>98</v>
      </c>
      <c r="G36" t="s">
        <v>102</v>
      </c>
    </row>
    <row r="37" spans="1:7" x14ac:dyDescent="0.35">
      <c r="A37" t="s">
        <v>97</v>
      </c>
      <c r="B37" t="s">
        <v>8</v>
      </c>
      <c r="C37" t="s">
        <v>32</v>
      </c>
      <c r="D37" t="s">
        <v>8</v>
      </c>
      <c r="E37" t="s">
        <v>52</v>
      </c>
      <c r="F37" t="s">
        <v>56</v>
      </c>
      <c r="G37" t="s">
        <v>100</v>
      </c>
    </row>
    <row r="38" spans="1:7" x14ac:dyDescent="0.35">
      <c r="A38" t="s">
        <v>97</v>
      </c>
      <c r="B38" t="s">
        <v>8</v>
      </c>
      <c r="C38" t="s">
        <v>33</v>
      </c>
      <c r="D38" t="s">
        <v>8</v>
      </c>
      <c r="E38" t="s">
        <v>116</v>
      </c>
      <c r="F38" t="s">
        <v>57</v>
      </c>
      <c r="G38" t="s">
        <v>99</v>
      </c>
    </row>
    <row r="39" spans="1:7" x14ac:dyDescent="0.35">
      <c r="A39" t="s">
        <v>97</v>
      </c>
      <c r="B39" t="s">
        <v>8</v>
      </c>
      <c r="C39" t="s">
        <v>33</v>
      </c>
      <c r="D39" t="s">
        <v>8</v>
      </c>
      <c r="E39" t="s">
        <v>116</v>
      </c>
      <c r="F39" t="s">
        <v>98</v>
      </c>
      <c r="G39" t="s">
        <v>103</v>
      </c>
    </row>
    <row r="40" spans="1:7" x14ac:dyDescent="0.35">
      <c r="A40" t="s">
        <v>97</v>
      </c>
      <c r="B40" t="s">
        <v>8</v>
      </c>
      <c r="C40" t="s">
        <v>33</v>
      </c>
      <c r="D40" t="s">
        <v>8</v>
      </c>
      <c r="E40" t="s">
        <v>116</v>
      </c>
      <c r="F40" t="s">
        <v>98</v>
      </c>
      <c r="G40" t="s">
        <v>101</v>
      </c>
    </row>
    <row r="41" spans="1:7" x14ac:dyDescent="0.35">
      <c r="A41" t="s">
        <v>97</v>
      </c>
      <c r="B41" t="s">
        <v>8</v>
      </c>
      <c r="C41" t="s">
        <v>33</v>
      </c>
      <c r="D41" t="s">
        <v>8</v>
      </c>
      <c r="E41" t="s">
        <v>116</v>
      </c>
      <c r="F41" t="s">
        <v>98</v>
      </c>
      <c r="G41" t="s">
        <v>102</v>
      </c>
    </row>
    <row r="42" spans="1:7" x14ac:dyDescent="0.35">
      <c r="A42" t="s">
        <v>97</v>
      </c>
      <c r="B42" t="s">
        <v>8</v>
      </c>
      <c r="C42" t="s">
        <v>33</v>
      </c>
      <c r="D42" t="s">
        <v>8</v>
      </c>
      <c r="E42" t="s">
        <v>52</v>
      </c>
      <c r="F42" t="s">
        <v>56</v>
      </c>
      <c r="G42" t="s">
        <v>100</v>
      </c>
    </row>
    <row r="43" spans="1:7" x14ac:dyDescent="0.35">
      <c r="A43" t="s">
        <v>97</v>
      </c>
      <c r="B43" t="s">
        <v>8</v>
      </c>
      <c r="C43" t="s">
        <v>34</v>
      </c>
      <c r="D43" t="s">
        <v>8</v>
      </c>
      <c r="E43" t="s">
        <v>116</v>
      </c>
      <c r="F43" t="s">
        <v>57</v>
      </c>
      <c r="G43" t="s">
        <v>99</v>
      </c>
    </row>
    <row r="44" spans="1:7" x14ac:dyDescent="0.35">
      <c r="A44" t="s">
        <v>97</v>
      </c>
      <c r="B44" t="s">
        <v>8</v>
      </c>
      <c r="C44" t="s">
        <v>34</v>
      </c>
      <c r="D44" t="s">
        <v>8</v>
      </c>
      <c r="E44" t="s">
        <v>116</v>
      </c>
      <c r="F44" t="s">
        <v>98</v>
      </c>
      <c r="G44" t="s">
        <v>103</v>
      </c>
    </row>
    <row r="45" spans="1:7" x14ac:dyDescent="0.35">
      <c r="A45" t="s">
        <v>97</v>
      </c>
      <c r="B45" t="s">
        <v>8</v>
      </c>
      <c r="C45" t="s">
        <v>34</v>
      </c>
      <c r="D45" t="s">
        <v>8</v>
      </c>
      <c r="E45" t="s">
        <v>116</v>
      </c>
      <c r="F45" t="s">
        <v>98</v>
      </c>
      <c r="G45" t="s">
        <v>101</v>
      </c>
    </row>
    <row r="46" spans="1:7" x14ac:dyDescent="0.35">
      <c r="A46" t="s">
        <v>97</v>
      </c>
      <c r="B46" t="s">
        <v>8</v>
      </c>
      <c r="C46" t="s">
        <v>34</v>
      </c>
      <c r="D46" t="s">
        <v>8</v>
      </c>
      <c r="E46" t="s">
        <v>116</v>
      </c>
      <c r="F46" t="s">
        <v>98</v>
      </c>
      <c r="G46" t="s">
        <v>102</v>
      </c>
    </row>
    <row r="47" spans="1:7" x14ac:dyDescent="0.35">
      <c r="A47" t="s">
        <v>97</v>
      </c>
      <c r="B47" t="s">
        <v>8</v>
      </c>
      <c r="C47" t="s">
        <v>34</v>
      </c>
      <c r="D47" t="s">
        <v>8</v>
      </c>
      <c r="E47" t="s">
        <v>52</v>
      </c>
      <c r="F47" t="s">
        <v>56</v>
      </c>
      <c r="G47" t="s">
        <v>100</v>
      </c>
    </row>
    <row r="49" spans="1:7" x14ac:dyDescent="0.35">
      <c r="A49" t="s">
        <v>97</v>
      </c>
      <c r="B49" t="s">
        <v>8</v>
      </c>
      <c r="C49" t="s">
        <v>116</v>
      </c>
      <c r="D49" t="s">
        <v>8</v>
      </c>
      <c r="E49" t="s">
        <v>53</v>
      </c>
      <c r="F49" t="s">
        <v>57</v>
      </c>
      <c r="G49" t="s">
        <v>99</v>
      </c>
    </row>
    <row r="50" spans="1:7" x14ac:dyDescent="0.35">
      <c r="A50" t="s">
        <v>97</v>
      </c>
      <c r="B50" t="s">
        <v>8</v>
      </c>
      <c r="C50" t="s">
        <v>116</v>
      </c>
      <c r="D50" t="s">
        <v>8</v>
      </c>
      <c r="E50" t="s">
        <v>53</v>
      </c>
      <c r="F50" t="s">
        <v>98</v>
      </c>
      <c r="G50" t="s">
        <v>103</v>
      </c>
    </row>
    <row r="51" spans="1:7" x14ac:dyDescent="0.35">
      <c r="A51" t="s">
        <v>97</v>
      </c>
      <c r="B51" t="s">
        <v>8</v>
      </c>
      <c r="C51" t="s">
        <v>116</v>
      </c>
      <c r="D51" t="s">
        <v>8</v>
      </c>
      <c r="E51" t="s">
        <v>53</v>
      </c>
      <c r="F51" t="s">
        <v>98</v>
      </c>
      <c r="G51" t="s">
        <v>101</v>
      </c>
    </row>
    <row r="53" spans="1:7" x14ac:dyDescent="0.35">
      <c r="A53" t="s">
        <v>97</v>
      </c>
      <c r="B53" t="s">
        <v>8</v>
      </c>
      <c r="C53" t="s">
        <v>116</v>
      </c>
      <c r="D53" t="s">
        <v>8</v>
      </c>
      <c r="E53" t="s">
        <v>78</v>
      </c>
      <c r="F53" t="s">
        <v>98</v>
      </c>
      <c r="G53" t="s">
        <v>194</v>
      </c>
    </row>
    <row r="54" spans="1:7" x14ac:dyDescent="0.35">
      <c r="A54" t="s">
        <v>97</v>
      </c>
      <c r="B54" t="s">
        <v>8</v>
      </c>
      <c r="C54" t="s">
        <v>116</v>
      </c>
      <c r="D54" t="s">
        <v>8</v>
      </c>
      <c r="E54" t="s">
        <v>78</v>
      </c>
      <c r="F54" t="s">
        <v>98</v>
      </c>
      <c r="G54" t="s">
        <v>195</v>
      </c>
    </row>
    <row r="56" spans="1:7" x14ac:dyDescent="0.35">
      <c r="A56" t="s">
        <v>97</v>
      </c>
      <c r="B56" t="s">
        <v>8</v>
      </c>
      <c r="C56" t="s">
        <v>31</v>
      </c>
      <c r="D56" t="s">
        <v>8</v>
      </c>
      <c r="E56" t="s">
        <v>78</v>
      </c>
      <c r="F56" t="s">
        <v>98</v>
      </c>
      <c r="G56" t="s">
        <v>194</v>
      </c>
    </row>
    <row r="57" spans="1:7" x14ac:dyDescent="0.35">
      <c r="A57" t="s">
        <v>97</v>
      </c>
      <c r="B57" t="s">
        <v>8</v>
      </c>
      <c r="C57" t="s">
        <v>31</v>
      </c>
      <c r="D57" t="s">
        <v>8</v>
      </c>
      <c r="E57" t="s">
        <v>78</v>
      </c>
      <c r="F57" t="s">
        <v>98</v>
      </c>
      <c r="G57" t="s">
        <v>196</v>
      </c>
    </row>
    <row r="58" spans="1:7" x14ac:dyDescent="0.35">
      <c r="A58" t="s">
        <v>97</v>
      </c>
      <c r="B58" t="s">
        <v>8</v>
      </c>
      <c r="C58" t="s">
        <v>31</v>
      </c>
      <c r="D58" t="s">
        <v>8</v>
      </c>
      <c r="E58" t="s">
        <v>78</v>
      </c>
      <c r="F58" t="s">
        <v>98</v>
      </c>
      <c r="G58" t="s">
        <v>195</v>
      </c>
    </row>
    <row r="59" spans="1:7" x14ac:dyDescent="0.35">
      <c r="A59" t="s">
        <v>97</v>
      </c>
      <c r="B59" t="s">
        <v>8</v>
      </c>
      <c r="C59" t="s">
        <v>32</v>
      </c>
      <c r="D59" t="s">
        <v>8</v>
      </c>
      <c r="E59" t="s">
        <v>78</v>
      </c>
      <c r="F59" t="s">
        <v>98</v>
      </c>
      <c r="G59" t="s">
        <v>194</v>
      </c>
    </row>
    <row r="60" spans="1:7" x14ac:dyDescent="0.35">
      <c r="A60" t="s">
        <v>97</v>
      </c>
      <c r="B60" t="s">
        <v>8</v>
      </c>
      <c r="C60" t="s">
        <v>32</v>
      </c>
      <c r="D60" t="s">
        <v>8</v>
      </c>
      <c r="E60" t="s">
        <v>78</v>
      </c>
      <c r="F60" t="s">
        <v>98</v>
      </c>
      <c r="G60" t="s">
        <v>196</v>
      </c>
    </row>
    <row r="61" spans="1:7" x14ac:dyDescent="0.35">
      <c r="A61" t="s">
        <v>97</v>
      </c>
      <c r="B61" t="s">
        <v>8</v>
      </c>
      <c r="C61" t="s">
        <v>32</v>
      </c>
      <c r="D61" t="s">
        <v>8</v>
      </c>
      <c r="E61" t="s">
        <v>78</v>
      </c>
      <c r="F61" t="s">
        <v>98</v>
      </c>
      <c r="G61" t="s">
        <v>195</v>
      </c>
    </row>
    <row r="62" spans="1:7" x14ac:dyDescent="0.35">
      <c r="A62" t="s">
        <v>97</v>
      </c>
      <c r="B62" t="s">
        <v>8</v>
      </c>
      <c r="C62" t="s">
        <v>33</v>
      </c>
      <c r="D62" t="s">
        <v>8</v>
      </c>
      <c r="E62" t="s">
        <v>78</v>
      </c>
      <c r="F62" t="s">
        <v>98</v>
      </c>
      <c r="G62" t="s">
        <v>194</v>
      </c>
    </row>
    <row r="63" spans="1:7" x14ac:dyDescent="0.35">
      <c r="A63" t="s">
        <v>97</v>
      </c>
      <c r="B63" t="s">
        <v>8</v>
      </c>
      <c r="C63" t="s">
        <v>33</v>
      </c>
      <c r="D63" t="s">
        <v>8</v>
      </c>
      <c r="E63" t="s">
        <v>78</v>
      </c>
      <c r="F63" t="s">
        <v>98</v>
      </c>
      <c r="G63" t="s">
        <v>196</v>
      </c>
    </row>
    <row r="64" spans="1:7" x14ac:dyDescent="0.35">
      <c r="A64" t="s">
        <v>97</v>
      </c>
      <c r="B64" t="s">
        <v>8</v>
      </c>
      <c r="C64" t="s">
        <v>33</v>
      </c>
      <c r="D64" t="s">
        <v>8</v>
      </c>
      <c r="E64" t="s">
        <v>78</v>
      </c>
      <c r="F64" t="s">
        <v>98</v>
      </c>
      <c r="G64" t="s">
        <v>195</v>
      </c>
    </row>
    <row r="65" spans="1:7" x14ac:dyDescent="0.35">
      <c r="A65" t="s">
        <v>97</v>
      </c>
      <c r="B65" t="s">
        <v>8</v>
      </c>
      <c r="C65" t="s">
        <v>34</v>
      </c>
      <c r="D65" t="s">
        <v>8</v>
      </c>
      <c r="E65" t="s">
        <v>78</v>
      </c>
      <c r="F65" t="s">
        <v>98</v>
      </c>
      <c r="G65" t="s">
        <v>194</v>
      </c>
    </row>
    <row r="66" spans="1:7" x14ac:dyDescent="0.35">
      <c r="A66" t="s">
        <v>97</v>
      </c>
      <c r="B66" t="s">
        <v>8</v>
      </c>
      <c r="C66" t="s">
        <v>34</v>
      </c>
      <c r="D66" t="s">
        <v>8</v>
      </c>
      <c r="E66" t="s">
        <v>78</v>
      </c>
      <c r="F66" t="s">
        <v>98</v>
      </c>
      <c r="G66" t="s">
        <v>196</v>
      </c>
    </row>
    <row r="67" spans="1:7" x14ac:dyDescent="0.35">
      <c r="A67" t="s">
        <v>97</v>
      </c>
      <c r="B67" t="s">
        <v>8</v>
      </c>
      <c r="C67" t="s">
        <v>34</v>
      </c>
      <c r="D67" t="s">
        <v>8</v>
      </c>
      <c r="E67" t="s">
        <v>78</v>
      </c>
      <c r="F67" t="s">
        <v>98</v>
      </c>
      <c r="G67" t="s">
        <v>195</v>
      </c>
    </row>
    <row r="69" spans="1:7" x14ac:dyDescent="0.35">
      <c r="A69" t="s">
        <v>97</v>
      </c>
      <c r="B69" t="s">
        <v>8</v>
      </c>
      <c r="C69" t="s">
        <v>78</v>
      </c>
      <c r="D69" t="s">
        <v>8</v>
      </c>
      <c r="E69" t="s">
        <v>89</v>
      </c>
      <c r="F69" t="s">
        <v>98</v>
      </c>
      <c r="G69" t="s">
        <v>197</v>
      </c>
    </row>
    <row r="71" spans="1:7" x14ac:dyDescent="0.35">
      <c r="A71" t="s">
        <v>97</v>
      </c>
      <c r="B71" t="s">
        <v>8</v>
      </c>
      <c r="C71" t="s">
        <v>53</v>
      </c>
      <c r="D71" t="s">
        <v>8</v>
      </c>
      <c r="E71" t="s">
        <v>89</v>
      </c>
      <c r="F71" t="s">
        <v>98</v>
      </c>
      <c r="G71" t="s">
        <v>104</v>
      </c>
    </row>
    <row r="72" spans="1:7" x14ac:dyDescent="0.35">
      <c r="A72" t="s">
        <v>97</v>
      </c>
      <c r="B72" t="s">
        <v>8</v>
      </c>
      <c r="C72" t="s">
        <v>53</v>
      </c>
      <c r="D72" t="s">
        <v>8</v>
      </c>
      <c r="E72" t="s">
        <v>89</v>
      </c>
      <c r="F72" t="s">
        <v>98</v>
      </c>
      <c r="G72" t="s">
        <v>207</v>
      </c>
    </row>
    <row r="73" spans="1:7" x14ac:dyDescent="0.35">
      <c r="A73" t="s">
        <v>97</v>
      </c>
      <c r="B73" t="s">
        <v>8</v>
      </c>
      <c r="C73" t="s">
        <v>52</v>
      </c>
      <c r="D73" t="s">
        <v>8</v>
      </c>
      <c r="E73" t="s">
        <v>89</v>
      </c>
      <c r="F73" t="s">
        <v>98</v>
      </c>
      <c r="G73" t="s">
        <v>104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9"/>
  <sheetViews>
    <sheetView workbookViewId="0">
      <selection activeCell="A6" sqref="A5:XFD6"/>
    </sheetView>
  </sheetViews>
  <sheetFormatPr defaultRowHeight="14.5" x14ac:dyDescent="0.35"/>
  <cols>
    <col min="1" max="2" width="22.7265625" bestFit="1" customWidth="1"/>
  </cols>
  <sheetData>
    <row r="1" spans="1:2" x14ac:dyDescent="0.35">
      <c r="A1" s="1" t="s">
        <v>105</v>
      </c>
      <c r="B1" s="1" t="s">
        <v>106</v>
      </c>
    </row>
    <row r="2" spans="1:2" x14ac:dyDescent="0.35">
      <c r="A2" t="s">
        <v>107</v>
      </c>
      <c r="B2" t="s">
        <v>107</v>
      </c>
    </row>
    <row r="3" spans="1:2" x14ac:dyDescent="0.35">
      <c r="A3" t="s">
        <v>198</v>
      </c>
      <c r="B3" t="s">
        <v>198</v>
      </c>
    </row>
    <row r="4" spans="1:2" x14ac:dyDescent="0.35">
      <c r="A4" t="s">
        <v>108</v>
      </c>
      <c r="B4" t="s">
        <v>108</v>
      </c>
    </row>
    <row r="5" spans="1:2" x14ac:dyDescent="0.35">
      <c r="A5" t="s">
        <v>109</v>
      </c>
      <c r="B5" t="s">
        <v>109</v>
      </c>
    </row>
    <row r="6" spans="1:2" x14ac:dyDescent="0.35">
      <c r="A6" t="s">
        <v>110</v>
      </c>
      <c r="B6" t="s">
        <v>110</v>
      </c>
    </row>
    <row r="7" spans="1:2" x14ac:dyDescent="0.35">
      <c r="A7" t="s">
        <v>111</v>
      </c>
      <c r="B7" t="s">
        <v>111</v>
      </c>
    </row>
    <row r="8" spans="1:2" x14ac:dyDescent="0.35">
      <c r="A8" t="s">
        <v>112</v>
      </c>
      <c r="B8" t="s">
        <v>112</v>
      </c>
    </row>
    <row r="9" spans="1:2" x14ac:dyDescent="0.35">
      <c r="A9" t="s">
        <v>113</v>
      </c>
      <c r="B9" t="s">
        <v>114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Global Simulation Parameters</vt:lpstr>
      <vt:lpstr>Facilities</vt:lpstr>
      <vt:lpstr>Continous Wells</vt:lpstr>
      <vt:lpstr>Continuous Separators</vt:lpstr>
      <vt:lpstr>Other</vt:lpstr>
      <vt:lpstr>Tank Battery</vt:lpstr>
      <vt:lpstr>VRUs</vt:lpstr>
      <vt:lpstr>Flares</vt:lpstr>
      <vt:lpstr>FFLinks</vt:lpstr>
      <vt:lpstr>Master Equipment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Miss Winrose Mollel</dc:creator>
  <cp:lastModifiedBy>Mollel,Winrose</cp:lastModifiedBy>
  <dcterms:created xsi:type="dcterms:W3CDTF">2022-09-15T16:25:14Z</dcterms:created>
  <dcterms:modified xsi:type="dcterms:W3CDTF">2023-11-30T17:28:44Z</dcterms:modified>
</cp:coreProperties>
</file>