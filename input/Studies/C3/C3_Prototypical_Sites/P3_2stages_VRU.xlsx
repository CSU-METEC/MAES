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METEC\MAES2\input\Studies\C3\C3_Prototypical_Sites\"/>
    </mc:Choice>
  </mc:AlternateContent>
  <xr:revisionPtr revIDLastSave="0" documentId="13_ncr:1_{05C12776-A8CD-4C41-8DF5-D8BFFD2CC108}" xr6:coauthVersionLast="47" xr6:coauthVersionMax="47" xr10:uidLastSave="{00000000-0000-0000-0000-000000000000}"/>
  <bookViews>
    <workbookView xWindow="-120" yWindow="-120" windowWidth="29040" windowHeight="15720" tabRatio="645" activeTab="6" xr2:uid="{00000000-000D-0000-FFFF-FFFF00000000}"/>
  </bookViews>
  <sheets>
    <sheet name="Global Simulation Parameters" sheetId="1" r:id="rId1"/>
    <sheet name="Facilities" sheetId="2" r:id="rId2"/>
    <sheet name="Cycling Wells" sheetId="21" r:id="rId3"/>
    <sheet name="Continuous Separators" sheetId="4" r:id="rId4"/>
    <sheet name="Other" sheetId="8" r:id="rId5"/>
    <sheet name="Tank Battery" sheetId="11" r:id="rId6"/>
    <sheet name="VRUs" sheetId="12" r:id="rId7"/>
    <sheet name="Flares" sheetId="20" r:id="rId8"/>
    <sheet name="FFLinks" sheetId="16" r:id="rId9"/>
    <sheet name="Master Equipment" sheetId="1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9" i="12" l="1"/>
  <c r="V9" i="12"/>
  <c r="W8" i="12"/>
  <c r="V8" i="12"/>
  <c r="W7" i="12"/>
  <c r="V7" i="12"/>
  <c r="W6" i="12"/>
  <c r="V6" i="12"/>
  <c r="W5" i="12"/>
  <c r="V5" i="12"/>
  <c r="W4" i="12"/>
  <c r="V4" i="12"/>
  <c r="W3" i="12"/>
  <c r="V3" i="12"/>
  <c r="W2" i="12"/>
  <c r="V2" i="12"/>
</calcChain>
</file>

<file path=xl/sharedStrings.xml><?xml version="1.0" encoding="utf-8"?>
<sst xmlns="http://schemas.openxmlformats.org/spreadsheetml/2006/main" count="1375" uniqueCount="229">
  <si>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</si>
  <si>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</si>
  <si>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</si>
  <si>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</si>
  <si>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</si>
  <si>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</si>
  <si>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</si>
  <si>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</si>
  <si>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</si>
  <si>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</si>
  <si>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</si>
  <si>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Average Loading</t>
  </si>
  <si>
    <t>Std Loading</t>
  </si>
  <si>
    <t>Blowdown Vent pLeak</t>
  </si>
  <si>
    <t>Common Single-Unit Vent pLeak</t>
  </si>
  <si>
    <t>pMalfunction</t>
  </si>
  <si>
    <t>pUnlit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</si>
  <si>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</si>
  <si>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</si>
  <si>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</si>
  <si>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</si>
  <si>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</si>
  <si>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</si>
  <si>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</si>
  <si>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</si>
  <si>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Flares</t>
  </si>
  <si>
    <t>VRUs</t>
  </si>
  <si>
    <t>tank_battery_WATER</t>
  </si>
  <si>
    <t>tank_battery_OIL</t>
  </si>
  <si>
    <t>Air</t>
  </si>
  <si>
    <t>Seal Vent pLeak</t>
  </si>
  <si>
    <t>Seal Vent(Large Emitter) pLeak</t>
  </si>
  <si>
    <t>Primary Water Takeoff Ratio</t>
  </si>
  <si>
    <t>sep_stage1_1</t>
  </si>
  <si>
    <t>sep_stage1_2</t>
  </si>
  <si>
    <t>sep_stage1_3</t>
  </si>
  <si>
    <t>sep_stage1_4</t>
  </si>
  <si>
    <t>sep_stage1_5</t>
  </si>
  <si>
    <t>sep_stage1_6</t>
  </si>
  <si>
    <t>sep_stage1_7</t>
  </si>
  <si>
    <t>sep_stage1_8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</si>
  <si>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</si>
  <si>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</si>
  <si>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</si>
  <si>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</si>
  <si>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</si>
  <si>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</si>
  <si>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</si>
  <si>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</si>
  <si>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sep_stage2_1</t>
  </si>
  <si>
    <t>sep_stage2_2</t>
  </si>
  <si>
    <t>sep_stage2_3</t>
  </si>
  <si>
    <t>sep_stage2_4</t>
  </si>
  <si>
    <t>sep_stage2_5</t>
  </si>
  <si>
    <t>sep_stage2_6</t>
  </si>
  <si>
    <t>sep_stage2_7</t>
  </si>
  <si>
    <t>sep_stage2_8</t>
  </si>
  <si>
    <t>Flow Tag</t>
  </si>
  <si>
    <t>Well</t>
  </si>
  <si>
    <t>Flow GC Tag</t>
  </si>
  <si>
    <t>Stage1</t>
  </si>
  <si>
    <t>Stage2</t>
  </si>
  <si>
    <t>Condensate</t>
  </si>
  <si>
    <t>Water</t>
  </si>
  <si>
    <t>primary_water</t>
  </si>
  <si>
    <t>Facility.json</t>
  </si>
  <si>
    <t>Flare.json</t>
  </si>
  <si>
    <t>FFLink.json</t>
  </si>
  <si>
    <t>Component Leak Survey Frequency [days]</t>
  </si>
  <si>
    <t>TankBattery.json</t>
  </si>
  <si>
    <t>Operating Duration min [days]</t>
  </si>
  <si>
    <t>Operating Duration max [days]</t>
  </si>
  <si>
    <t>Malfunction Duration min [days]</t>
  </si>
  <si>
    <t>Malfunction Duration max [days]</t>
  </si>
  <si>
    <t>Unlit Duration min [days]</t>
  </si>
  <si>
    <t>Unlit Duration max [days]</t>
  </si>
  <si>
    <t>Tank Thief Hatch MTTR min [days]</t>
  </si>
  <si>
    <t>Tank Thief Hatch MTTR max [days]</t>
  </si>
  <si>
    <t>Tank Battery Vent MTTR min [days]</t>
  </si>
  <si>
    <t>Tank Battery Vent MTTR max [days]</t>
  </si>
  <si>
    <t>Common Single-Unit Vent MTTR Min [days]</t>
  </si>
  <si>
    <t>Common Single-Unit Vent MTTR Max [days]</t>
  </si>
  <si>
    <t>Seal Vent MTTR Min [days]</t>
  </si>
  <si>
    <t>Seal Vent MTTR Max [days]</t>
  </si>
  <si>
    <t>Seal Vent(Large Emitter) MTTR Min [days]</t>
  </si>
  <si>
    <t>Seal Vent(Large Emitter) MTTR Max [days]</t>
  </si>
  <si>
    <t>Actuator Type [Gas, Electric, Air]</t>
  </si>
  <si>
    <t>Flow Gas Composition</t>
  </si>
  <si>
    <t>4SRB</t>
  </si>
  <si>
    <t>Combustion GC Name</t>
  </si>
  <si>
    <t>Malfunction Destruction Efficiency</t>
  </si>
  <si>
    <t>Unlit Destruction Efficiency</t>
  </si>
  <si>
    <t>Operating Destruction Efficiency</t>
  </si>
  <si>
    <t>Factor Tag</t>
  </si>
  <si>
    <t>Vapor</t>
  </si>
  <si>
    <t>Other</t>
  </si>
  <si>
    <t>misc_equipment</t>
  </si>
  <si>
    <t>Number of Thief Hatches</t>
  </si>
  <si>
    <t>Number of Vents</t>
  </si>
  <si>
    <t>123-2555</t>
  </si>
  <si>
    <t>123_42230</t>
  </si>
  <si>
    <t>123_42232</t>
  </si>
  <si>
    <t>123_42231</t>
  </si>
  <si>
    <t>123_42233</t>
  </si>
  <si>
    <t>123_42229</t>
  </si>
  <si>
    <t>123_42228</t>
  </si>
  <si>
    <t>123_42234</t>
  </si>
  <si>
    <t>123_42227</t>
  </si>
  <si>
    <t>Flare_1</t>
  </si>
  <si>
    <t>Flare_2</t>
  </si>
  <si>
    <t>VRU_1</t>
  </si>
  <si>
    <t>VRU_2</t>
  </si>
  <si>
    <t>VRU_3</t>
  </si>
  <si>
    <t>VRU_4</t>
  </si>
  <si>
    <t>VRU_5</t>
  </si>
  <si>
    <t>VRU_6</t>
  </si>
  <si>
    <t>VRU_7</t>
  </si>
  <si>
    <t>VRU_8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</si>
  <si>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</si>
  <si>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</si>
  <si>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</si>
  <si>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</si>
  <si>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</si>
  <si>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</si>
  <si>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</si>
  <si>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</si>
  <si>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</si>
  <si>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</si>
  <si>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</si>
  <si>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</si>
  <si>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</si>
  <si>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>Compressor Type [Centrifugal, Reciprocating, Other]</t>
  </si>
  <si>
    <t>Operating Fraction</t>
  </si>
  <si>
    <t>NOP Fraction of NOP/NOD</t>
  </si>
  <si>
    <t>Starter Type [Gas, Electric, Air]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</si>
  <si>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</si>
  <si>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</si>
  <si>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</si>
  <si>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</si>
  <si>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</si>
  <si>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 [days]</t>
  </si>
  <si>
    <t>Blowdown Vent MTTRMax [days]</t>
  </si>
  <si>
    <t>Common Single-Unit Vent Component Count</t>
  </si>
  <si>
    <t>Seal Vent Component Count</t>
  </si>
  <si>
    <t>Seal Vent(Large Emitter) Component Count</t>
  </si>
  <si>
    <t>Compressor Starter Vent Component Count</t>
  </si>
  <si>
    <t>Compressor Starter Vent MTTR Min [days]</t>
  </si>
  <si>
    <t>Compressor Starter Vent MTTR Max [days]</t>
  </si>
  <si>
    <t>Compressor Starter Vent pLeak</t>
  </si>
  <si>
    <t>Common Single-unit Vent(Large Emitter) Component Count</t>
  </si>
  <si>
    <t>Common Single-unit Vent(Large Emitter) MTTR Min [days]</t>
  </si>
  <si>
    <t>Common Single-unit Vent(Large Emitter) MTTR Max [days]</t>
  </si>
  <si>
    <t>Common Single-unit Vent(Large Emitter) pLeak</t>
  </si>
  <si>
    <t>Electric</t>
  </si>
  <si>
    <t>Compressor.json</t>
  </si>
  <si>
    <t>Recip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</si>
  <si>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</si>
  <si>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</si>
  <si>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</si>
  <si>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</si>
  <si>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</si>
  <si>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input/Studies/C3/C3_Prototypical_Sites/CompositionsC3_2stages.csv</t>
  </si>
  <si>
    <t>Default-LeakGc</t>
  </si>
  <si>
    <t>Battery Type [Condensate Tank, Water Tank]</t>
  </si>
  <si>
    <t>Fluid [Water, Condensate]</t>
  </si>
  <si>
    <t>Seal Type [Dry, Wet, Rod Packing]</t>
  </si>
  <si>
    <t>Driver Type [Turbine, 4SLB, 2SLB, 4SRB, Electric]</t>
  </si>
  <si>
    <t>Single Unit Vents [TRUE, FALSE]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</si>
  <si>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</si>
  <si>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</si>
  <si>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</si>
  <si>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</si>
  <si>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</si>
  <si>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</si>
  <si>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</si>
  <si>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</si>
  <si>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</si>
  <si>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</si>
  <si>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</si>
  <si>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</si>
  <si>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</si>
  <si>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tank_flash</t>
  </si>
  <si>
    <t>flare_flow</t>
  </si>
  <si>
    <t>stuck_dump_valve_vapor</t>
  </si>
  <si>
    <t>Engine Efficiency</t>
  </si>
  <si>
    <t>Exhaust Factors</t>
  </si>
  <si>
    <t>Total Duration Lower Limit [hours]</t>
  </si>
  <si>
    <t>Total Duration Upper Limit [hours]</t>
  </si>
  <si>
    <t>Compressor Power [kW]</t>
  </si>
  <si>
    <t>Leak GC Name</t>
  </si>
  <si>
    <t>wellpad</t>
  </si>
  <si>
    <t>Well-Condensate.Stage1-Flash</t>
  </si>
  <si>
    <t>Well-Condensate.Stage1-Condensate.Stage2-Flash</t>
  </si>
  <si>
    <t>Well-Water.Stage1-Water.Stage2-Water.Tank-Flash</t>
  </si>
  <si>
    <t>Well-Condensate.Stage1-Condensate.Stage2-Condensate.Tank-Flash</t>
  </si>
  <si>
    <t>water_gas_sales</t>
  </si>
  <si>
    <t>condensate_gas_sales</t>
  </si>
  <si>
    <t>gas_sales</t>
  </si>
  <si>
    <t>wellpad_sep</t>
  </si>
  <si>
    <t>wellpad_misc</t>
  </si>
  <si>
    <t>wellpad_tanks</t>
  </si>
  <si>
    <t>wellpad_flare</t>
  </si>
  <si>
    <t>Leak Gas Composition</t>
  </si>
  <si>
    <t>Facility Type</t>
  </si>
  <si>
    <t>Common</t>
  </si>
  <si>
    <t>Production/FlashFractions/FlashFractionsTest.csv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</si>
  <si>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</si>
  <si>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</si>
  <si>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</si>
  <si>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</si>
  <si>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</si>
  <si>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</si>
  <si>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</si>
  <si>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Rod Packing</t>
  </si>
  <si>
    <t>Compressor Efficiency</t>
  </si>
  <si>
    <t>Load Condition File</t>
  </si>
  <si>
    <t>DestEffAll4SRB</t>
  </si>
  <si>
    <t>50_PS2</t>
  </si>
  <si>
    <t>tank_gas_outlet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</si>
  <si>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</si>
  <si>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</si>
  <si>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</si>
  <si>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</si>
  <si>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</si>
  <si>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</si>
  <si>
    <t>Crankcase Emissions Flag [TRUE, FALSE]</t>
  </si>
  <si>
    <t>CCEE Ratio Distribution</t>
  </si>
  <si>
    <t>Actuator Type [Gas, Air, Electric, Gas Mechanistic]</t>
  </si>
  <si>
    <t>Common/CrankcaseDistributions/crankcaseTest.csv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</si>
</sst>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3">
    <xf numFmtId="0" fontId="0" fillId="0" borderId="0"/>
    <xf numFmtId="0" fontId="4" fillId="2" borderId="0" applyNumberFormat="0" applyBorder="0" applyAlignment="0" applyProtection="0"/>
    <xf numFmtId="0" fontId="6" fillId="8" borderId="0" applyNumberFormat="0" applyBorder="0" applyAlignment="0" applyProtection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7" borderId="0" xfId="0" applyFill="1"/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6" fillId="8" borderId="1" xfId="2" applyBorder="1" applyAlignment="1">
      <alignment wrapText="1"/>
    </xf>
    <xf numFmtId="0" fontId="6" fillId="8" borderId="0" xfId="2"/>
    <xf numFmtId="0" fontId="1" fillId="9" borderId="1" xfId="0" applyFont="1" applyFill="1" applyBorder="1" applyAlignment="1">
      <alignment horizontal="center" vertical="center" wrapText="1"/>
    </xf>
    <xf numFmtId="0" fontId="0" fillId="9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0" fillId="10" borderId="0" xfId="0" applyFill="1"/>
    <xf numFmtId="0" fontId="0" fillId="11" borderId="0" xfId="0" applyFill="1"/>
    <xf numFmtId="0" fontId="0" fillId="12" borderId="0" xfId="0" applyFill="1"/>
    <xf numFmtId="0" fontId="2" fillId="9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2" fillId="14" borderId="1" xfId="0" applyFont="1" applyFill="1" applyBorder="1" applyAlignment="1">
      <alignment horizontal="center" vertical="center" wrapText="1"/>
    </xf>
    <xf numFmtId="0" fontId="1" fillId="1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13" borderId="0" xfId="0" applyFill="1"/>
    <xf numFmtId="0" fontId="0" fillId="12" borderId="0" xfId="0" applyFill="1" applyAlignment="1">
      <alignment horizontal="center"/>
    </xf>
    <xf numFmtId="0" fontId="0" fillId="14" borderId="0" xfId="0" applyFill="1"/>
    <xf numFmtId="0" fontId="0" fillId="15" borderId="0" xfId="0" applyFill="1"/>
    <xf numFmtId="1" fontId="0" fillId="12" borderId="0" xfId="0" applyNumberFormat="1" applyFill="1"/>
    <xf numFmtId="0" fontId="2" fillId="10" borderId="5" xfId="0" applyFont="1" applyFill="1" applyBorder="1" applyAlignment="1">
      <alignment horizontal="center" vertical="center" wrapText="1"/>
    </xf>
    <xf numFmtId="0" fontId="5" fillId="10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</cellXfs>
  <cellStyles count="3">
    <cellStyle name="Accent3" xfId="2" builtinId="37"/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H26" sqref="H26"/>
    </sheetView>
  </sheetViews>
  <sheetFormatPr defaultColWidth="8.85546875" defaultRowHeight="15" x14ac:dyDescent="0.25"/>
  <cols>
    <col min="1" max="1" width="33.42578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203</v>
      </c>
      <c r="B4" t="s">
        <v>204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D15" sqref="D15"/>
    </sheetView>
  </sheetViews>
  <sheetFormatPr defaultColWidth="8.85546875"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4" bestFit="1" customWidth="1"/>
    <col min="5" max="5" width="20" bestFit="1" customWidth="1"/>
  </cols>
  <sheetData>
    <row r="1" spans="1:5" s="11" customFormat="1" x14ac:dyDescent="0.25">
      <c r="A1" s="10" t="s">
        <v>4</v>
      </c>
      <c r="B1" s="17" t="s">
        <v>5</v>
      </c>
      <c r="C1" s="10" t="s">
        <v>6</v>
      </c>
      <c r="D1" s="10" t="s">
        <v>202</v>
      </c>
      <c r="E1" s="10" t="s">
        <v>7</v>
      </c>
    </row>
    <row r="2" spans="1:5" x14ac:dyDescent="0.25">
      <c r="A2" t="s">
        <v>99</v>
      </c>
      <c r="B2">
        <v>40.319454999999998</v>
      </c>
      <c r="C2">
        <v>-104.912887</v>
      </c>
      <c r="D2" t="s">
        <v>161</v>
      </c>
      <c r="E2" t="s">
        <v>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90304-5371-4DEF-8D7E-371EB1C22F96}">
  <dimension ref="A1:S9"/>
  <sheetViews>
    <sheetView topLeftCell="B1" workbookViewId="0">
      <selection activeCell="K22" sqref="K22"/>
    </sheetView>
  </sheetViews>
  <sheetFormatPr defaultColWidth="8.85546875" defaultRowHeight="15" x14ac:dyDescent="0.25"/>
  <cols>
    <col min="2" max="2" width="15.42578125" bestFit="1" customWidth="1"/>
    <col min="17" max="17" width="19.85546875" bestFit="1" customWidth="1"/>
    <col min="18" max="18" width="63.85546875" bestFit="1" customWidth="1"/>
  </cols>
  <sheetData>
    <row r="1" spans="1:19" s="18" customFormat="1" ht="90" x14ac:dyDescent="0.25">
      <c r="A1" s="18" t="s">
        <v>4</v>
      </c>
      <c r="B1" s="18" t="s">
        <v>7</v>
      </c>
      <c r="C1" s="18" t="s">
        <v>8</v>
      </c>
      <c r="D1" s="18" t="s">
        <v>5</v>
      </c>
      <c r="E1" s="18" t="s">
        <v>6</v>
      </c>
      <c r="F1" s="19" t="s">
        <v>68</v>
      </c>
      <c r="G1" s="19" t="s">
        <v>9</v>
      </c>
      <c r="H1" s="19" t="s">
        <v>10</v>
      </c>
      <c r="I1" s="18" t="s">
        <v>119</v>
      </c>
      <c r="J1" s="18" t="s">
        <v>120</v>
      </c>
      <c r="K1" s="18" t="s">
        <v>121</v>
      </c>
      <c r="L1" s="18" t="s">
        <v>122</v>
      </c>
      <c r="M1" s="18" t="s">
        <v>123</v>
      </c>
      <c r="N1" s="18" t="s">
        <v>124</v>
      </c>
      <c r="O1" s="18" t="s">
        <v>86</v>
      </c>
      <c r="P1" s="18" t="s">
        <v>57</v>
      </c>
      <c r="Q1" s="18" t="s">
        <v>189</v>
      </c>
      <c r="R1" s="18" t="s">
        <v>87</v>
      </c>
      <c r="S1" s="18" t="s">
        <v>93</v>
      </c>
    </row>
    <row r="2" spans="1:19" x14ac:dyDescent="0.25">
      <c r="A2" t="s">
        <v>99</v>
      </c>
      <c r="B2" t="s">
        <v>125</v>
      </c>
      <c r="C2" t="s">
        <v>100</v>
      </c>
      <c r="D2">
        <v>0</v>
      </c>
      <c r="E2">
        <v>0</v>
      </c>
      <c r="F2" s="20">
        <v>365</v>
      </c>
      <c r="G2" s="20">
        <v>48</v>
      </c>
      <c r="H2" s="20">
        <v>5.0000000000000001E-3</v>
      </c>
      <c r="I2">
        <v>15.2228260869565</v>
      </c>
      <c r="J2">
        <v>3.6992753623188399</v>
      </c>
      <c r="K2">
        <v>1</v>
      </c>
      <c r="L2">
        <v>38</v>
      </c>
      <c r="M2">
        <v>8</v>
      </c>
      <c r="N2">
        <v>20</v>
      </c>
      <c r="O2" t="s">
        <v>29</v>
      </c>
      <c r="P2" t="s">
        <v>58</v>
      </c>
      <c r="Q2" t="s">
        <v>162</v>
      </c>
      <c r="R2" t="s">
        <v>161</v>
      </c>
      <c r="S2" t="s">
        <v>190</v>
      </c>
    </row>
    <row r="3" spans="1:19" x14ac:dyDescent="0.25">
      <c r="A3" t="s">
        <v>99</v>
      </c>
      <c r="B3" t="s">
        <v>125</v>
      </c>
      <c r="C3" t="s">
        <v>102</v>
      </c>
      <c r="D3">
        <v>0</v>
      </c>
      <c r="E3">
        <v>0</v>
      </c>
      <c r="F3" s="20">
        <v>365</v>
      </c>
      <c r="G3" s="20">
        <v>48</v>
      </c>
      <c r="H3" s="20">
        <v>5.0000000000000001E-3</v>
      </c>
      <c r="I3">
        <v>9.4550359712230208</v>
      </c>
      <c r="J3">
        <v>1.3758992805755399</v>
      </c>
      <c r="K3">
        <v>1</v>
      </c>
      <c r="L3">
        <v>38</v>
      </c>
      <c r="M3">
        <v>8</v>
      </c>
      <c r="N3">
        <v>20</v>
      </c>
      <c r="O3" t="s">
        <v>29</v>
      </c>
      <c r="P3" t="s">
        <v>58</v>
      </c>
      <c r="Q3" t="s">
        <v>162</v>
      </c>
      <c r="R3" t="s">
        <v>161</v>
      </c>
      <c r="S3" t="s">
        <v>190</v>
      </c>
    </row>
    <row r="4" spans="1:19" x14ac:dyDescent="0.25">
      <c r="A4" t="s">
        <v>99</v>
      </c>
      <c r="B4" t="s">
        <v>125</v>
      </c>
      <c r="C4" t="s">
        <v>101</v>
      </c>
      <c r="D4">
        <v>0</v>
      </c>
      <c r="E4">
        <v>0</v>
      </c>
      <c r="F4" s="20">
        <v>365</v>
      </c>
      <c r="G4" s="20">
        <v>48</v>
      </c>
      <c r="H4" s="20">
        <v>5.0000000000000001E-3</v>
      </c>
      <c r="I4">
        <v>13.7254901960784</v>
      </c>
      <c r="J4">
        <v>1.97860962566845</v>
      </c>
      <c r="K4">
        <v>1</v>
      </c>
      <c r="L4">
        <v>38</v>
      </c>
      <c r="M4">
        <v>8</v>
      </c>
      <c r="N4">
        <v>20</v>
      </c>
      <c r="O4" t="s">
        <v>29</v>
      </c>
      <c r="P4" t="s">
        <v>58</v>
      </c>
      <c r="Q4" t="s">
        <v>162</v>
      </c>
      <c r="R4" t="s">
        <v>161</v>
      </c>
      <c r="S4" t="s">
        <v>190</v>
      </c>
    </row>
    <row r="5" spans="1:19" x14ac:dyDescent="0.25">
      <c r="A5" t="s">
        <v>99</v>
      </c>
      <c r="B5" t="s">
        <v>125</v>
      </c>
      <c r="C5" t="s">
        <v>103</v>
      </c>
      <c r="D5">
        <v>0</v>
      </c>
      <c r="E5">
        <v>0</v>
      </c>
      <c r="F5" s="20">
        <v>365</v>
      </c>
      <c r="G5" s="20">
        <v>48</v>
      </c>
      <c r="H5" s="20">
        <v>5.0000000000000001E-3</v>
      </c>
      <c r="I5">
        <v>18.625912408759099</v>
      </c>
      <c r="J5">
        <v>2.5072992700729899</v>
      </c>
      <c r="K5">
        <v>1</v>
      </c>
      <c r="L5">
        <v>38</v>
      </c>
      <c r="M5">
        <v>8</v>
      </c>
      <c r="N5">
        <v>20</v>
      </c>
      <c r="O5" t="s">
        <v>29</v>
      </c>
      <c r="P5" t="s">
        <v>58</v>
      </c>
      <c r="Q5" t="s">
        <v>162</v>
      </c>
      <c r="R5" t="s">
        <v>161</v>
      </c>
      <c r="S5" t="s">
        <v>190</v>
      </c>
    </row>
    <row r="6" spans="1:19" x14ac:dyDescent="0.25">
      <c r="A6" t="s">
        <v>99</v>
      </c>
      <c r="B6" t="s">
        <v>125</v>
      </c>
      <c r="C6" t="s">
        <v>106</v>
      </c>
      <c r="D6">
        <v>0</v>
      </c>
      <c r="E6">
        <v>0</v>
      </c>
      <c r="F6" s="20">
        <v>365</v>
      </c>
      <c r="G6" s="20">
        <v>48</v>
      </c>
      <c r="H6" s="20">
        <v>5.0000000000000001E-3</v>
      </c>
      <c r="I6">
        <v>8.0261282660332505</v>
      </c>
      <c r="J6">
        <v>1.3396674584323001</v>
      </c>
      <c r="K6">
        <v>1</v>
      </c>
      <c r="L6">
        <v>38</v>
      </c>
      <c r="M6">
        <v>8</v>
      </c>
      <c r="N6">
        <v>20</v>
      </c>
      <c r="O6" t="s">
        <v>29</v>
      </c>
      <c r="P6" t="s">
        <v>58</v>
      </c>
      <c r="Q6" t="s">
        <v>162</v>
      </c>
      <c r="R6" t="s">
        <v>161</v>
      </c>
      <c r="S6" t="s">
        <v>190</v>
      </c>
    </row>
    <row r="7" spans="1:19" x14ac:dyDescent="0.25">
      <c r="A7" t="s">
        <v>99</v>
      </c>
      <c r="B7" t="s">
        <v>125</v>
      </c>
      <c r="C7" t="s">
        <v>107</v>
      </c>
      <c r="D7">
        <v>0</v>
      </c>
      <c r="E7">
        <v>0</v>
      </c>
      <c r="F7" s="20">
        <v>365</v>
      </c>
      <c r="G7" s="20">
        <v>48</v>
      </c>
      <c r="H7" s="20">
        <v>5.0000000000000001E-3</v>
      </c>
      <c r="I7">
        <v>12.6272401433692</v>
      </c>
      <c r="J7">
        <v>3.03046594982079</v>
      </c>
      <c r="K7">
        <v>1</v>
      </c>
      <c r="L7">
        <v>38</v>
      </c>
      <c r="M7">
        <v>8</v>
      </c>
      <c r="N7">
        <v>20</v>
      </c>
      <c r="O7" t="s">
        <v>29</v>
      </c>
      <c r="P7" t="s">
        <v>58</v>
      </c>
      <c r="Q7" t="s">
        <v>162</v>
      </c>
      <c r="R7" t="s">
        <v>161</v>
      </c>
      <c r="S7" t="s">
        <v>190</v>
      </c>
    </row>
    <row r="8" spans="1:19" x14ac:dyDescent="0.25">
      <c r="A8" t="s">
        <v>99</v>
      </c>
      <c r="B8" t="s">
        <v>125</v>
      </c>
      <c r="C8" t="s">
        <v>105</v>
      </c>
      <c r="D8">
        <v>0</v>
      </c>
      <c r="E8">
        <v>0</v>
      </c>
      <c r="F8" s="20">
        <v>365</v>
      </c>
      <c r="G8" s="20">
        <v>48</v>
      </c>
      <c r="H8" s="20">
        <v>5.0000000000000001E-3</v>
      </c>
      <c r="I8">
        <v>9.6010733452593904</v>
      </c>
      <c r="J8">
        <v>2.2898032200357799</v>
      </c>
      <c r="K8">
        <v>1</v>
      </c>
      <c r="L8">
        <v>38</v>
      </c>
      <c r="M8">
        <v>8</v>
      </c>
      <c r="N8">
        <v>20</v>
      </c>
      <c r="O8" t="s">
        <v>29</v>
      </c>
      <c r="P8" t="s">
        <v>58</v>
      </c>
      <c r="Q8" t="s">
        <v>162</v>
      </c>
      <c r="R8" t="s">
        <v>161</v>
      </c>
      <c r="S8" t="s">
        <v>190</v>
      </c>
    </row>
    <row r="9" spans="1:19" x14ac:dyDescent="0.25">
      <c r="A9" t="s">
        <v>99</v>
      </c>
      <c r="B9" t="s">
        <v>125</v>
      </c>
      <c r="C9" t="s">
        <v>104</v>
      </c>
      <c r="D9">
        <v>0</v>
      </c>
      <c r="E9">
        <v>0</v>
      </c>
      <c r="F9" s="20">
        <v>365</v>
      </c>
      <c r="G9" s="20">
        <v>48</v>
      </c>
      <c r="H9" s="20">
        <v>5.0000000000000001E-3</v>
      </c>
      <c r="I9">
        <v>18.043280182232301</v>
      </c>
      <c r="J9">
        <v>4.5170842824601403</v>
      </c>
      <c r="K9">
        <v>1</v>
      </c>
      <c r="L9">
        <v>38</v>
      </c>
      <c r="M9">
        <v>8</v>
      </c>
      <c r="N9">
        <v>20</v>
      </c>
      <c r="O9" t="s">
        <v>29</v>
      </c>
      <c r="P9" t="s">
        <v>58</v>
      </c>
      <c r="Q9" t="s">
        <v>162</v>
      </c>
      <c r="R9" t="s">
        <v>161</v>
      </c>
      <c r="S9" t="s">
        <v>190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9"/>
  <sheetViews>
    <sheetView workbookViewId="0">
      <selection activeCell="I24" sqref="I24"/>
    </sheetView>
  </sheetViews>
  <sheetFormatPr defaultColWidth="8.85546875" defaultRowHeight="15" x14ac:dyDescent="0.25"/>
  <cols>
    <col min="1" max="5" width="15.7109375" customWidth="1"/>
    <col min="6" max="13" width="15.7109375" style="3" customWidth="1"/>
    <col min="14" max="14" width="24.42578125" bestFit="1" customWidth="1"/>
    <col min="15" max="15" width="47.140625" bestFit="1" customWidth="1"/>
    <col min="16" max="16" width="15.7109375" customWidth="1"/>
    <col min="17" max="17" width="18.7109375" bestFit="1" customWidth="1"/>
  </cols>
  <sheetData>
    <row r="1" spans="1:16" s="2" customFormat="1" ht="60" x14ac:dyDescent="0.25">
      <c r="A1" s="15" t="s">
        <v>4</v>
      </c>
      <c r="B1" s="15" t="s">
        <v>8</v>
      </c>
      <c r="C1" s="16" t="s">
        <v>68</v>
      </c>
      <c r="D1" s="16" t="s">
        <v>9</v>
      </c>
      <c r="E1" s="16" t="s">
        <v>10</v>
      </c>
      <c r="F1" s="15" t="s">
        <v>86</v>
      </c>
      <c r="G1" s="21" t="s">
        <v>126</v>
      </c>
      <c r="H1" s="21" t="s">
        <v>127</v>
      </c>
      <c r="I1" s="21" t="s">
        <v>128</v>
      </c>
      <c r="J1" s="21" t="s">
        <v>129</v>
      </c>
      <c r="K1" s="21" t="s">
        <v>130</v>
      </c>
      <c r="L1" s="15" t="s">
        <v>32</v>
      </c>
      <c r="M1" s="15" t="s">
        <v>59</v>
      </c>
      <c r="N1" s="15" t="s">
        <v>7</v>
      </c>
      <c r="O1" s="15" t="s">
        <v>189</v>
      </c>
      <c r="P1" s="15" t="s">
        <v>93</v>
      </c>
    </row>
    <row r="2" spans="1:16" x14ac:dyDescent="0.25">
      <c r="A2" t="s">
        <v>99</v>
      </c>
      <c r="B2" t="s">
        <v>33</v>
      </c>
      <c r="C2" s="7">
        <v>365</v>
      </c>
      <c r="D2" s="7">
        <v>62</v>
      </c>
      <c r="E2" s="7">
        <v>5.9867000000000002E-3</v>
      </c>
      <c r="F2" s="3" t="s">
        <v>29</v>
      </c>
      <c r="G2" s="22">
        <v>1</v>
      </c>
      <c r="H2" s="22">
        <v>0.01</v>
      </c>
      <c r="I2" s="22">
        <v>1</v>
      </c>
      <c r="J2" s="22">
        <v>20</v>
      </c>
      <c r="K2" s="22" t="s">
        <v>205</v>
      </c>
      <c r="L2" s="3">
        <v>0.75</v>
      </c>
      <c r="M2" s="3" t="s">
        <v>60</v>
      </c>
      <c r="N2" t="s">
        <v>160</v>
      </c>
      <c r="O2" t="s">
        <v>191</v>
      </c>
      <c r="P2" t="s">
        <v>198</v>
      </c>
    </row>
    <row r="3" spans="1:16" x14ac:dyDescent="0.25">
      <c r="A3" t="s">
        <v>99</v>
      </c>
      <c r="B3" t="s">
        <v>34</v>
      </c>
      <c r="C3" s="7">
        <v>365</v>
      </c>
      <c r="D3" s="7">
        <v>62</v>
      </c>
      <c r="E3" s="7">
        <v>5.9867000000000002E-3</v>
      </c>
      <c r="F3" s="3" t="s">
        <v>29</v>
      </c>
      <c r="G3" s="22">
        <v>1</v>
      </c>
      <c r="H3" s="22">
        <v>0.01</v>
      </c>
      <c r="I3" s="22">
        <v>1</v>
      </c>
      <c r="J3" s="22">
        <v>20</v>
      </c>
      <c r="K3" s="22" t="s">
        <v>205</v>
      </c>
      <c r="L3" s="3">
        <v>0.75</v>
      </c>
      <c r="M3" s="3" t="s">
        <v>60</v>
      </c>
      <c r="N3" t="s">
        <v>160</v>
      </c>
      <c r="O3" t="s">
        <v>191</v>
      </c>
      <c r="P3" t="s">
        <v>198</v>
      </c>
    </row>
    <row r="4" spans="1:16" x14ac:dyDescent="0.25">
      <c r="A4" t="s">
        <v>99</v>
      </c>
      <c r="B4" t="s">
        <v>35</v>
      </c>
      <c r="C4" s="7">
        <v>365</v>
      </c>
      <c r="D4" s="7">
        <v>62</v>
      </c>
      <c r="E4" s="7">
        <v>5.9867000000000002E-3</v>
      </c>
      <c r="F4" s="3" t="s">
        <v>29</v>
      </c>
      <c r="G4" s="22">
        <v>1</v>
      </c>
      <c r="H4" s="22">
        <v>0.01</v>
      </c>
      <c r="I4" s="22">
        <v>1</v>
      </c>
      <c r="J4" s="22">
        <v>20</v>
      </c>
      <c r="K4" s="22" t="s">
        <v>205</v>
      </c>
      <c r="L4" s="3">
        <v>0.75</v>
      </c>
      <c r="M4" s="3" t="s">
        <v>60</v>
      </c>
      <c r="N4" t="s">
        <v>160</v>
      </c>
      <c r="O4" t="s">
        <v>191</v>
      </c>
      <c r="P4" t="s">
        <v>198</v>
      </c>
    </row>
    <row r="5" spans="1:16" x14ac:dyDescent="0.25">
      <c r="A5" t="s">
        <v>99</v>
      </c>
      <c r="B5" t="s">
        <v>36</v>
      </c>
      <c r="C5" s="7">
        <v>365</v>
      </c>
      <c r="D5" s="7">
        <v>62</v>
      </c>
      <c r="E5" s="7">
        <v>5.9867000000000002E-3</v>
      </c>
      <c r="F5" s="3" t="s">
        <v>29</v>
      </c>
      <c r="G5" s="22">
        <v>1</v>
      </c>
      <c r="H5" s="22">
        <v>0.01</v>
      </c>
      <c r="I5" s="22">
        <v>1</v>
      </c>
      <c r="J5" s="22">
        <v>20</v>
      </c>
      <c r="K5" s="22" t="s">
        <v>205</v>
      </c>
      <c r="L5" s="3">
        <v>0.75</v>
      </c>
      <c r="M5" s="3" t="s">
        <v>60</v>
      </c>
      <c r="N5" t="s">
        <v>160</v>
      </c>
      <c r="O5" t="s">
        <v>191</v>
      </c>
      <c r="P5" t="s">
        <v>198</v>
      </c>
    </row>
    <row r="6" spans="1:16" x14ac:dyDescent="0.25">
      <c r="A6" t="s">
        <v>99</v>
      </c>
      <c r="B6" t="s">
        <v>37</v>
      </c>
      <c r="C6" s="7">
        <v>365</v>
      </c>
      <c r="D6" s="7">
        <v>62</v>
      </c>
      <c r="E6" s="7">
        <v>5.9867000000000002E-3</v>
      </c>
      <c r="F6" s="3" t="s">
        <v>29</v>
      </c>
      <c r="G6" s="22">
        <v>1</v>
      </c>
      <c r="H6" s="22">
        <v>0.01</v>
      </c>
      <c r="I6" s="22">
        <v>1</v>
      </c>
      <c r="J6" s="22">
        <v>20</v>
      </c>
      <c r="K6" s="22" t="s">
        <v>205</v>
      </c>
      <c r="L6" s="3">
        <v>0.75</v>
      </c>
      <c r="M6" s="3" t="s">
        <v>60</v>
      </c>
      <c r="N6" t="s">
        <v>160</v>
      </c>
      <c r="O6" t="s">
        <v>191</v>
      </c>
      <c r="P6" t="s">
        <v>198</v>
      </c>
    </row>
    <row r="7" spans="1:16" x14ac:dyDescent="0.25">
      <c r="A7" t="s">
        <v>99</v>
      </c>
      <c r="B7" t="s">
        <v>38</v>
      </c>
      <c r="C7" s="7">
        <v>365</v>
      </c>
      <c r="D7" s="7">
        <v>62</v>
      </c>
      <c r="E7" s="7">
        <v>5.9867000000000002E-3</v>
      </c>
      <c r="F7" s="3" t="s">
        <v>29</v>
      </c>
      <c r="G7" s="22">
        <v>1</v>
      </c>
      <c r="H7" s="22">
        <v>0.01</v>
      </c>
      <c r="I7" s="22">
        <v>1</v>
      </c>
      <c r="J7" s="22">
        <v>20</v>
      </c>
      <c r="K7" s="22" t="s">
        <v>205</v>
      </c>
      <c r="L7" s="3">
        <v>0.75</v>
      </c>
      <c r="M7" s="3" t="s">
        <v>60</v>
      </c>
      <c r="N7" t="s">
        <v>160</v>
      </c>
      <c r="O7" t="s">
        <v>191</v>
      </c>
      <c r="P7" t="s">
        <v>198</v>
      </c>
    </row>
    <row r="8" spans="1:16" x14ac:dyDescent="0.25">
      <c r="A8" t="s">
        <v>99</v>
      </c>
      <c r="B8" t="s">
        <v>39</v>
      </c>
      <c r="C8" s="7">
        <v>365</v>
      </c>
      <c r="D8" s="7">
        <v>62</v>
      </c>
      <c r="E8" s="7">
        <v>5.9867000000000002E-3</v>
      </c>
      <c r="F8" s="3" t="s">
        <v>29</v>
      </c>
      <c r="G8" s="22">
        <v>1</v>
      </c>
      <c r="H8" s="22">
        <v>0.01</v>
      </c>
      <c r="I8" s="22">
        <v>1</v>
      </c>
      <c r="J8" s="22">
        <v>20</v>
      </c>
      <c r="K8" s="22" t="s">
        <v>205</v>
      </c>
      <c r="L8" s="3">
        <v>0.75</v>
      </c>
      <c r="M8" s="3" t="s">
        <v>60</v>
      </c>
      <c r="N8" t="s">
        <v>160</v>
      </c>
      <c r="O8" t="s">
        <v>191</v>
      </c>
      <c r="P8" t="s">
        <v>198</v>
      </c>
    </row>
    <row r="9" spans="1:16" x14ac:dyDescent="0.25">
      <c r="A9" t="s">
        <v>99</v>
      </c>
      <c r="B9" t="s">
        <v>40</v>
      </c>
      <c r="C9" s="7">
        <v>365</v>
      </c>
      <c r="D9" s="7">
        <v>62</v>
      </c>
      <c r="E9" s="7">
        <v>5.9867000000000002E-3</v>
      </c>
      <c r="F9" s="3" t="s">
        <v>29</v>
      </c>
      <c r="G9" s="22">
        <v>1</v>
      </c>
      <c r="H9" s="22">
        <v>0.01</v>
      </c>
      <c r="I9" s="22">
        <v>1</v>
      </c>
      <c r="J9" s="22">
        <v>20</v>
      </c>
      <c r="K9" s="22" t="s">
        <v>205</v>
      </c>
      <c r="L9" s="3">
        <v>0.75</v>
      </c>
      <c r="M9" s="3" t="s">
        <v>60</v>
      </c>
      <c r="N9" t="s">
        <v>160</v>
      </c>
      <c r="O9" t="s">
        <v>191</v>
      </c>
      <c r="P9" t="s">
        <v>198</v>
      </c>
    </row>
    <row r="10" spans="1:16" x14ac:dyDescent="0.25">
      <c r="F10"/>
      <c r="G10"/>
      <c r="H10"/>
      <c r="I10"/>
      <c r="J10"/>
      <c r="K10"/>
      <c r="L10"/>
      <c r="M10"/>
    </row>
    <row r="11" spans="1:16" x14ac:dyDescent="0.25">
      <c r="A11" t="s">
        <v>99</v>
      </c>
      <c r="B11" t="s">
        <v>49</v>
      </c>
      <c r="C11" s="7">
        <v>365</v>
      </c>
      <c r="D11" s="7">
        <v>62</v>
      </c>
      <c r="E11" s="7">
        <v>5.9867000000000002E-3</v>
      </c>
      <c r="F11" s="3" t="s">
        <v>29</v>
      </c>
      <c r="G11" s="22">
        <v>1</v>
      </c>
      <c r="H11" s="22">
        <v>0.01</v>
      </c>
      <c r="I11" s="22">
        <v>1</v>
      </c>
      <c r="J11" s="22">
        <v>20</v>
      </c>
      <c r="K11" s="22" t="s">
        <v>205</v>
      </c>
      <c r="L11" s="3">
        <v>1</v>
      </c>
      <c r="M11" s="3" t="s">
        <v>61</v>
      </c>
      <c r="N11" t="s">
        <v>160</v>
      </c>
      <c r="O11" t="s">
        <v>192</v>
      </c>
      <c r="P11" t="s">
        <v>198</v>
      </c>
    </row>
    <row r="12" spans="1:16" x14ac:dyDescent="0.25">
      <c r="A12" t="s">
        <v>99</v>
      </c>
      <c r="B12" t="s">
        <v>50</v>
      </c>
      <c r="C12" s="7">
        <v>365</v>
      </c>
      <c r="D12" s="7">
        <v>62</v>
      </c>
      <c r="E12" s="7">
        <v>5.9867000000000002E-3</v>
      </c>
      <c r="F12" s="3" t="s">
        <v>29</v>
      </c>
      <c r="G12" s="22">
        <v>1</v>
      </c>
      <c r="H12" s="22">
        <v>0.01</v>
      </c>
      <c r="I12" s="22">
        <v>1</v>
      </c>
      <c r="J12" s="22">
        <v>20</v>
      </c>
      <c r="K12" s="22" t="s">
        <v>205</v>
      </c>
      <c r="L12" s="3">
        <v>1</v>
      </c>
      <c r="M12" s="3" t="s">
        <v>61</v>
      </c>
      <c r="N12" t="s">
        <v>160</v>
      </c>
      <c r="O12" t="s">
        <v>192</v>
      </c>
      <c r="P12" t="s">
        <v>198</v>
      </c>
    </row>
    <row r="13" spans="1:16" x14ac:dyDescent="0.25">
      <c r="A13" t="s">
        <v>99</v>
      </c>
      <c r="B13" t="s">
        <v>51</v>
      </c>
      <c r="C13" s="7">
        <v>365</v>
      </c>
      <c r="D13" s="7">
        <v>62</v>
      </c>
      <c r="E13" s="7">
        <v>5.9867000000000002E-3</v>
      </c>
      <c r="F13" s="3" t="s">
        <v>29</v>
      </c>
      <c r="G13" s="22">
        <v>1</v>
      </c>
      <c r="H13" s="22">
        <v>0.01</v>
      </c>
      <c r="I13" s="22">
        <v>1</v>
      </c>
      <c r="J13" s="22">
        <v>20</v>
      </c>
      <c r="K13" s="22" t="s">
        <v>205</v>
      </c>
      <c r="L13" s="3">
        <v>1</v>
      </c>
      <c r="M13" s="3" t="s">
        <v>61</v>
      </c>
      <c r="N13" t="s">
        <v>160</v>
      </c>
      <c r="O13" t="s">
        <v>192</v>
      </c>
      <c r="P13" t="s">
        <v>198</v>
      </c>
    </row>
    <row r="14" spans="1:16" x14ac:dyDescent="0.25">
      <c r="A14" t="s">
        <v>99</v>
      </c>
      <c r="B14" t="s">
        <v>52</v>
      </c>
      <c r="C14" s="7">
        <v>365</v>
      </c>
      <c r="D14" s="7">
        <v>62</v>
      </c>
      <c r="E14" s="7">
        <v>5.9867000000000002E-3</v>
      </c>
      <c r="F14" s="3" t="s">
        <v>29</v>
      </c>
      <c r="G14" s="22">
        <v>1</v>
      </c>
      <c r="H14" s="22">
        <v>0.01</v>
      </c>
      <c r="I14" s="22">
        <v>1</v>
      </c>
      <c r="J14" s="22">
        <v>20</v>
      </c>
      <c r="K14" s="22" t="s">
        <v>205</v>
      </c>
      <c r="L14" s="3">
        <v>1</v>
      </c>
      <c r="M14" s="3" t="s">
        <v>61</v>
      </c>
      <c r="N14" t="s">
        <v>160</v>
      </c>
      <c r="O14" t="s">
        <v>192</v>
      </c>
      <c r="P14" t="s">
        <v>198</v>
      </c>
    </row>
    <row r="15" spans="1:16" x14ac:dyDescent="0.25">
      <c r="A15" t="s">
        <v>99</v>
      </c>
      <c r="B15" t="s">
        <v>53</v>
      </c>
      <c r="C15" s="7">
        <v>365</v>
      </c>
      <c r="D15" s="7">
        <v>62</v>
      </c>
      <c r="E15" s="7">
        <v>5.9867000000000002E-3</v>
      </c>
      <c r="F15" s="3" t="s">
        <v>29</v>
      </c>
      <c r="G15" s="22">
        <v>1</v>
      </c>
      <c r="H15" s="22">
        <v>0.01</v>
      </c>
      <c r="I15" s="22">
        <v>1</v>
      </c>
      <c r="J15" s="22">
        <v>20</v>
      </c>
      <c r="K15" s="22" t="s">
        <v>205</v>
      </c>
      <c r="L15" s="3">
        <v>1</v>
      </c>
      <c r="M15" s="3" t="s">
        <v>61</v>
      </c>
      <c r="N15" t="s">
        <v>160</v>
      </c>
      <c r="O15" t="s">
        <v>192</v>
      </c>
      <c r="P15" t="s">
        <v>198</v>
      </c>
    </row>
    <row r="16" spans="1:16" x14ac:dyDescent="0.25">
      <c r="A16" t="s">
        <v>99</v>
      </c>
      <c r="B16" t="s">
        <v>54</v>
      </c>
      <c r="C16" s="7">
        <v>365</v>
      </c>
      <c r="D16" s="7">
        <v>62</v>
      </c>
      <c r="E16" s="7">
        <v>5.9867000000000002E-3</v>
      </c>
      <c r="F16" s="3" t="s">
        <v>29</v>
      </c>
      <c r="G16" s="22">
        <v>1</v>
      </c>
      <c r="H16" s="22">
        <v>0.01</v>
      </c>
      <c r="I16" s="22">
        <v>1</v>
      </c>
      <c r="J16" s="22">
        <v>20</v>
      </c>
      <c r="K16" s="22" t="s">
        <v>205</v>
      </c>
      <c r="L16" s="3">
        <v>1</v>
      </c>
      <c r="M16" s="3" t="s">
        <v>61</v>
      </c>
      <c r="N16" t="s">
        <v>160</v>
      </c>
      <c r="O16" t="s">
        <v>192</v>
      </c>
      <c r="P16" t="s">
        <v>198</v>
      </c>
    </row>
    <row r="17" spans="1:16" x14ac:dyDescent="0.25">
      <c r="A17" t="s">
        <v>99</v>
      </c>
      <c r="B17" t="s">
        <v>55</v>
      </c>
      <c r="C17" s="7">
        <v>365</v>
      </c>
      <c r="D17" s="7">
        <v>62</v>
      </c>
      <c r="E17" s="7">
        <v>5.9867000000000002E-3</v>
      </c>
      <c r="F17" s="3" t="s">
        <v>29</v>
      </c>
      <c r="G17" s="22">
        <v>1</v>
      </c>
      <c r="H17" s="22">
        <v>0.01</v>
      </c>
      <c r="I17" s="22">
        <v>1</v>
      </c>
      <c r="J17" s="22">
        <v>20</v>
      </c>
      <c r="K17" s="22" t="s">
        <v>205</v>
      </c>
      <c r="L17" s="3">
        <v>1</v>
      </c>
      <c r="M17" s="3" t="s">
        <v>61</v>
      </c>
      <c r="N17" t="s">
        <v>160</v>
      </c>
      <c r="O17" t="s">
        <v>192</v>
      </c>
      <c r="P17" t="s">
        <v>198</v>
      </c>
    </row>
    <row r="18" spans="1:16" x14ac:dyDescent="0.25">
      <c r="A18" t="s">
        <v>99</v>
      </c>
      <c r="B18" t="s">
        <v>56</v>
      </c>
      <c r="C18" s="7">
        <v>365</v>
      </c>
      <c r="D18" s="7">
        <v>62</v>
      </c>
      <c r="E18" s="7">
        <v>5.9867000000000002E-3</v>
      </c>
      <c r="F18" s="3" t="s">
        <v>29</v>
      </c>
      <c r="G18" s="22">
        <v>1</v>
      </c>
      <c r="H18" s="22">
        <v>0.01</v>
      </c>
      <c r="I18" s="22">
        <v>1</v>
      </c>
      <c r="J18" s="22">
        <v>20</v>
      </c>
      <c r="K18" s="22" t="s">
        <v>205</v>
      </c>
      <c r="L18" s="3">
        <v>1</v>
      </c>
      <c r="M18" s="3" t="s">
        <v>61</v>
      </c>
      <c r="N18" t="s">
        <v>160</v>
      </c>
      <c r="O18" t="s">
        <v>192</v>
      </c>
      <c r="P18" t="s">
        <v>198</v>
      </c>
    </row>
    <row r="19" spans="1:16" x14ac:dyDescent="0.25">
      <c r="F19"/>
      <c r="G19"/>
      <c r="H19"/>
      <c r="I19"/>
      <c r="J19"/>
      <c r="K19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6"/>
  <sheetViews>
    <sheetView workbookViewId="0">
      <selection activeCell="G17" sqref="G17"/>
    </sheetView>
  </sheetViews>
  <sheetFormatPr defaultColWidth="8.85546875" defaultRowHeight="15" x14ac:dyDescent="0.25"/>
  <cols>
    <col min="1" max="1" width="9" bestFit="1" customWidth="1"/>
    <col min="2" max="2" width="16" bestFit="1" customWidth="1"/>
    <col min="3" max="5" width="12" customWidth="1"/>
    <col min="6" max="6" width="8.42578125" style="3" bestFit="1" customWidth="1"/>
    <col min="7" max="7" width="14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9.85546875" bestFit="1" customWidth="1"/>
  </cols>
  <sheetData>
    <row r="1" spans="1:21" s="11" customFormat="1" ht="75" x14ac:dyDescent="0.25">
      <c r="A1" s="10" t="s">
        <v>4</v>
      </c>
      <c r="B1" s="10" t="s">
        <v>8</v>
      </c>
      <c r="C1" s="12" t="s">
        <v>68</v>
      </c>
      <c r="D1" s="12" t="s">
        <v>9</v>
      </c>
      <c r="E1" s="12" t="s">
        <v>10</v>
      </c>
      <c r="F1" s="10" t="s">
        <v>86</v>
      </c>
      <c r="G1" s="10" t="s">
        <v>7</v>
      </c>
      <c r="H1" s="10" t="s">
        <v>189</v>
      </c>
      <c r="I1" s="10" t="s">
        <v>168</v>
      </c>
      <c r="J1" s="55" t="s">
        <v>169</v>
      </c>
      <c r="K1" s="56" t="s">
        <v>170</v>
      </c>
      <c r="L1" s="56" t="s">
        <v>171</v>
      </c>
      <c r="M1" s="25" t="s">
        <v>172</v>
      </c>
      <c r="N1" s="10" t="s">
        <v>173</v>
      </c>
      <c r="O1" s="57" t="s">
        <v>174</v>
      </c>
      <c r="P1" s="57" t="s">
        <v>175</v>
      </c>
      <c r="Q1" s="40" t="s">
        <v>176</v>
      </c>
      <c r="R1" s="58" t="s">
        <v>177</v>
      </c>
      <c r="S1" s="58" t="s">
        <v>178</v>
      </c>
      <c r="T1" s="36" t="s">
        <v>179</v>
      </c>
      <c r="U1" s="10" t="s">
        <v>93</v>
      </c>
    </row>
    <row r="2" spans="1:21" x14ac:dyDescent="0.25">
      <c r="A2" t="s">
        <v>99</v>
      </c>
      <c r="B2" t="s">
        <v>96</v>
      </c>
      <c r="C2" s="6">
        <v>365</v>
      </c>
      <c r="D2" s="6">
        <v>60</v>
      </c>
      <c r="E2" s="6">
        <v>3.7499999999999999E-2</v>
      </c>
      <c r="F2" s="3" t="s">
        <v>29</v>
      </c>
      <c r="G2" t="s">
        <v>180</v>
      </c>
      <c r="H2" t="s">
        <v>162</v>
      </c>
      <c r="I2" t="b">
        <v>0</v>
      </c>
      <c r="J2" s="28">
        <v>0</v>
      </c>
      <c r="K2" s="28">
        <v>0</v>
      </c>
      <c r="L2" s="28">
        <v>0</v>
      </c>
      <c r="M2" s="28">
        <v>0.1</v>
      </c>
      <c r="N2" t="b">
        <v>0</v>
      </c>
      <c r="O2" s="6">
        <v>0</v>
      </c>
      <c r="P2" s="6">
        <v>0</v>
      </c>
      <c r="Q2" s="6">
        <v>0.1</v>
      </c>
      <c r="R2" s="8">
        <v>0</v>
      </c>
      <c r="S2" s="8">
        <v>0</v>
      </c>
      <c r="T2" s="8">
        <v>0.1</v>
      </c>
      <c r="U2" t="s">
        <v>199</v>
      </c>
    </row>
    <row r="7" spans="1:21" x14ac:dyDescent="0.25">
      <c r="F7"/>
    </row>
    <row r="8" spans="1:21" x14ac:dyDescent="0.25">
      <c r="F8"/>
    </row>
    <row r="9" spans="1:21" x14ac:dyDescent="0.25">
      <c r="F9"/>
    </row>
    <row r="10" spans="1:21" x14ac:dyDescent="0.25">
      <c r="F10"/>
    </row>
    <row r="11" spans="1:21" x14ac:dyDescent="0.25">
      <c r="F11"/>
    </row>
    <row r="12" spans="1:21" x14ac:dyDescent="0.25">
      <c r="F12"/>
    </row>
    <row r="13" spans="1:21" x14ac:dyDescent="0.25">
      <c r="F13"/>
    </row>
    <row r="14" spans="1:21" x14ac:dyDescent="0.25">
      <c r="F14"/>
    </row>
    <row r="15" spans="1:21" x14ac:dyDescent="0.25">
      <c r="F15"/>
    </row>
    <row r="16" spans="1:21" x14ac:dyDescent="0.25">
      <c r="F16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workbookViewId="0">
      <selection activeCell="AB14" sqref="AB14"/>
    </sheetView>
  </sheetViews>
  <sheetFormatPr defaultColWidth="66.7109375" defaultRowHeight="15" x14ac:dyDescent="0.25"/>
  <cols>
    <col min="1" max="1" width="9.42578125" bestFit="1" customWidth="1"/>
    <col min="2" max="2" width="16" bestFit="1" customWidth="1"/>
    <col min="3" max="3" width="19.85546875" bestFit="1" customWidth="1"/>
    <col min="4" max="4" width="13.42578125" bestFit="1" customWidth="1"/>
    <col min="5" max="5" width="17.28515625" bestFit="1" customWidth="1"/>
    <col min="6" max="6" width="12.7109375" bestFit="1" customWidth="1"/>
    <col min="7" max="7" width="17.42578125" bestFit="1" customWidth="1"/>
    <col min="8" max="8" width="16.28515625" bestFit="1" customWidth="1"/>
    <col min="9" max="9" width="17.28515625" bestFit="1" customWidth="1"/>
    <col min="10" max="10" width="13.140625" bestFit="1" customWidth="1"/>
    <col min="11" max="11" width="16.28515625" bestFit="1" customWidth="1"/>
    <col min="12" max="12" width="13.85546875" bestFit="1" customWidth="1"/>
    <col min="13" max="13" width="15.85546875" bestFit="1" customWidth="1"/>
    <col min="14" max="15" width="11.42578125" bestFit="1" customWidth="1"/>
    <col min="16" max="16" width="14.7109375" bestFit="1" customWidth="1"/>
    <col min="17" max="17" width="22.42578125" bestFit="1" customWidth="1"/>
    <col min="18" max="18" width="12" bestFit="1" customWidth="1"/>
    <col min="19" max="19" width="15.85546875" bestFit="1" customWidth="1"/>
    <col min="20" max="20" width="16.140625" bestFit="1" customWidth="1"/>
    <col min="21" max="22" width="18.42578125" bestFit="1" customWidth="1"/>
    <col min="23" max="23" width="16.85546875" bestFit="1" customWidth="1"/>
    <col min="24" max="24" width="13.28515625" bestFit="1" customWidth="1"/>
    <col min="25" max="26" width="18.42578125" bestFit="1" customWidth="1"/>
    <col min="27" max="27" width="13.28515625" bestFit="1" customWidth="1"/>
    <col min="28" max="28" width="18.42578125" bestFit="1" customWidth="1"/>
    <col min="29" max="29" width="12.28515625" bestFit="1" customWidth="1"/>
    <col min="30" max="30" width="12.140625" bestFit="1" customWidth="1"/>
    <col min="31" max="31" width="63.7109375" bestFit="1" customWidth="1"/>
    <col min="32" max="32" width="14" bestFit="1" customWidth="1"/>
  </cols>
  <sheetData>
    <row r="1" spans="1:32" s="11" customFormat="1" ht="59.25" customHeight="1" x14ac:dyDescent="0.25">
      <c r="A1" s="10" t="s">
        <v>4</v>
      </c>
      <c r="B1" s="10" t="s">
        <v>7</v>
      </c>
      <c r="C1" s="10" t="s">
        <v>8</v>
      </c>
      <c r="D1" s="10" t="s">
        <v>86</v>
      </c>
      <c r="E1" s="10" t="s">
        <v>163</v>
      </c>
      <c r="F1" s="23" t="s">
        <v>164</v>
      </c>
      <c r="G1" s="13" t="s">
        <v>9</v>
      </c>
      <c r="H1" s="12" t="s">
        <v>68</v>
      </c>
      <c r="I1" s="12" t="s">
        <v>10</v>
      </c>
      <c r="J1" s="24" t="s">
        <v>97</v>
      </c>
      <c r="K1" s="24" t="s">
        <v>98</v>
      </c>
      <c r="L1" s="24" t="s">
        <v>206</v>
      </c>
      <c r="M1" s="25" t="s">
        <v>76</v>
      </c>
      <c r="N1" s="25" t="s">
        <v>77</v>
      </c>
      <c r="O1" s="25" t="s">
        <v>17</v>
      </c>
      <c r="P1" s="26" t="s">
        <v>78</v>
      </c>
      <c r="Q1" s="26" t="s">
        <v>79</v>
      </c>
      <c r="R1" s="26" t="s">
        <v>18</v>
      </c>
      <c r="S1" s="25" t="s">
        <v>207</v>
      </c>
      <c r="T1" s="25" t="s">
        <v>208</v>
      </c>
      <c r="U1" s="25" t="s">
        <v>209</v>
      </c>
      <c r="V1" s="26" t="s">
        <v>210</v>
      </c>
      <c r="W1" s="26" t="s">
        <v>211</v>
      </c>
      <c r="X1" s="26" t="s">
        <v>212</v>
      </c>
      <c r="Y1" s="27" t="s">
        <v>219</v>
      </c>
      <c r="Z1" s="27" t="s">
        <v>220</v>
      </c>
      <c r="AA1" s="27" t="s">
        <v>221</v>
      </c>
      <c r="AB1" s="27" t="s">
        <v>222</v>
      </c>
      <c r="AC1" s="27" t="s">
        <v>223</v>
      </c>
      <c r="AD1" s="27" t="s">
        <v>224</v>
      </c>
      <c r="AE1" s="10" t="s">
        <v>189</v>
      </c>
      <c r="AF1" s="10" t="s">
        <v>93</v>
      </c>
    </row>
    <row r="2" spans="1:32" x14ac:dyDescent="0.25">
      <c r="A2" t="s">
        <v>99</v>
      </c>
      <c r="B2" t="s">
        <v>69</v>
      </c>
      <c r="C2" t="s">
        <v>27</v>
      </c>
      <c r="D2" s="3" t="s">
        <v>29</v>
      </c>
      <c r="E2" t="s">
        <v>20</v>
      </c>
      <c r="F2" t="s">
        <v>63</v>
      </c>
      <c r="G2" s="7">
        <v>50</v>
      </c>
      <c r="H2" s="7">
        <v>365</v>
      </c>
      <c r="I2" s="7">
        <v>4.3276E-3</v>
      </c>
      <c r="J2">
        <v>2</v>
      </c>
      <c r="K2">
        <v>1</v>
      </c>
      <c r="L2" t="b">
        <v>1</v>
      </c>
      <c r="M2" s="28">
        <v>0</v>
      </c>
      <c r="N2" s="28">
        <v>365</v>
      </c>
      <c r="O2" s="28">
        <v>0.34166999999999997</v>
      </c>
      <c r="P2" s="29">
        <v>0</v>
      </c>
      <c r="Q2" s="29">
        <v>365</v>
      </c>
      <c r="R2" s="29">
        <v>0.14960999999999999</v>
      </c>
      <c r="S2" s="28">
        <v>3</v>
      </c>
      <c r="T2" s="28">
        <v>7</v>
      </c>
      <c r="U2" s="28">
        <v>0.34166999999999997</v>
      </c>
      <c r="V2" s="29">
        <v>7</v>
      </c>
      <c r="W2" s="29">
        <v>7</v>
      </c>
      <c r="X2" s="29">
        <v>0.14960999999999999</v>
      </c>
      <c r="Y2" s="30">
        <v>1</v>
      </c>
      <c r="Z2" s="30">
        <v>2</v>
      </c>
      <c r="AA2" s="30">
        <v>0.5</v>
      </c>
      <c r="AB2" s="54">
        <v>3000</v>
      </c>
      <c r="AC2" s="54">
        <v>10000</v>
      </c>
      <c r="AD2" s="54">
        <v>5000</v>
      </c>
      <c r="AE2" t="s">
        <v>193</v>
      </c>
      <c r="AF2" t="s">
        <v>200</v>
      </c>
    </row>
    <row r="3" spans="1:32" x14ac:dyDescent="0.25">
      <c r="A3" t="s">
        <v>99</v>
      </c>
      <c r="B3" t="s">
        <v>69</v>
      </c>
      <c r="C3" t="s">
        <v>28</v>
      </c>
      <c r="D3" s="3" t="s">
        <v>29</v>
      </c>
      <c r="E3" t="s">
        <v>21</v>
      </c>
      <c r="F3" t="s">
        <v>62</v>
      </c>
      <c r="G3" s="7">
        <v>50</v>
      </c>
      <c r="H3" s="7">
        <v>365</v>
      </c>
      <c r="I3" s="7">
        <v>4.3276E-3</v>
      </c>
      <c r="J3">
        <v>17</v>
      </c>
      <c r="K3">
        <v>1</v>
      </c>
      <c r="L3" t="b">
        <v>1</v>
      </c>
      <c r="M3" s="28">
        <v>0</v>
      </c>
      <c r="N3" s="28">
        <v>365</v>
      </c>
      <c r="O3" s="28">
        <v>0.34166999999999997</v>
      </c>
      <c r="P3" s="29">
        <v>0</v>
      </c>
      <c r="Q3" s="29">
        <v>365</v>
      </c>
      <c r="R3" s="29">
        <v>0.14960999999999999</v>
      </c>
      <c r="S3" s="28">
        <v>3</v>
      </c>
      <c r="T3" s="28">
        <v>7</v>
      </c>
      <c r="U3" s="28">
        <v>0.34166999999999997</v>
      </c>
      <c r="V3" s="29">
        <v>7</v>
      </c>
      <c r="W3" s="29">
        <v>7</v>
      </c>
      <c r="X3" s="29">
        <v>0.14960999999999999</v>
      </c>
      <c r="Y3" s="30">
        <v>1</v>
      </c>
      <c r="Z3" s="30">
        <v>2</v>
      </c>
      <c r="AA3" s="30">
        <v>0.5</v>
      </c>
      <c r="AB3" s="54">
        <v>3000</v>
      </c>
      <c r="AC3" s="54">
        <v>10000</v>
      </c>
      <c r="AD3" s="54">
        <v>5000</v>
      </c>
      <c r="AE3" t="s">
        <v>194</v>
      </c>
      <c r="AF3" t="s">
        <v>200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D9"/>
  <sheetViews>
    <sheetView tabSelected="1" workbookViewId="0">
      <selection activeCell="G15" sqref="G15"/>
    </sheetView>
  </sheetViews>
  <sheetFormatPr defaultColWidth="8.85546875" defaultRowHeight="15" x14ac:dyDescent="0.25"/>
  <cols>
    <col min="1" max="1" width="8.7109375" bestFit="1" customWidth="1"/>
    <col min="2" max="2" width="7.140625" bestFit="1" customWidth="1"/>
    <col min="3" max="3" width="10.7109375" bestFit="1" customWidth="1"/>
    <col min="4" max="5" width="11.42578125" bestFit="1" customWidth="1"/>
    <col min="6" max="6" width="11.7109375" bestFit="1" customWidth="1"/>
    <col min="7" max="7" width="12.28515625" customWidth="1"/>
    <col min="8" max="8" width="11.42578125" bestFit="1" customWidth="1"/>
    <col min="9" max="9" width="13.42578125" bestFit="1" customWidth="1"/>
    <col min="10" max="10" width="9.42578125" bestFit="1" customWidth="1"/>
    <col min="11" max="11" width="11.42578125" bestFit="1" customWidth="1"/>
    <col min="12" max="12" width="11.42578125" customWidth="1"/>
    <col min="13" max="13" width="14.28515625" bestFit="1" customWidth="1"/>
    <col min="14" max="14" width="16.42578125" style="3" bestFit="1" customWidth="1"/>
    <col min="15" max="15" width="8.28515625" bestFit="1" customWidth="1"/>
    <col min="16" max="16" width="11.140625" bestFit="1" customWidth="1"/>
    <col min="17" max="17" width="9.85546875" bestFit="1" customWidth="1"/>
    <col min="18" max="18" width="10.42578125" bestFit="1" customWidth="1"/>
    <col min="19" max="19" width="11.28515625" bestFit="1" customWidth="1"/>
    <col min="20" max="20" width="11.42578125" bestFit="1" customWidth="1"/>
    <col min="21" max="21" width="10.28515625" bestFit="1" customWidth="1"/>
    <col min="22" max="22" width="11.42578125" bestFit="1" customWidth="1"/>
    <col min="23" max="23" width="13.140625" bestFit="1" customWidth="1"/>
    <col min="24" max="24" width="14.28515625" bestFit="1" customWidth="1"/>
    <col min="25" max="25" width="14.42578125" bestFit="1" customWidth="1"/>
    <col min="26" max="26" width="10.7109375" bestFit="1" customWidth="1"/>
    <col min="27" max="28" width="10.42578125" bestFit="1" customWidth="1"/>
    <col min="29" max="29" width="10.85546875" bestFit="1" customWidth="1"/>
    <col min="30" max="30" width="12.42578125" bestFit="1" customWidth="1"/>
    <col min="31" max="31" width="15" bestFit="1" customWidth="1"/>
    <col min="32" max="32" width="11" bestFit="1" customWidth="1"/>
    <col min="33" max="34" width="15.7109375" bestFit="1" customWidth="1"/>
    <col min="35" max="35" width="11.42578125" bestFit="1" customWidth="1"/>
    <col min="36" max="36" width="10" bestFit="1" customWidth="1"/>
    <col min="37" max="37" width="10.28515625" bestFit="1" customWidth="1"/>
    <col min="38" max="38" width="9.42578125" bestFit="1" customWidth="1"/>
    <col min="39" max="39" width="15" customWidth="1"/>
    <col min="40" max="41" width="13.85546875" bestFit="1" customWidth="1"/>
    <col min="42" max="42" width="10" bestFit="1" customWidth="1"/>
    <col min="43" max="43" width="11.7109375" bestFit="1" customWidth="1"/>
    <col min="44" max="45" width="10.7109375" bestFit="1" customWidth="1"/>
    <col min="46" max="46" width="9.7109375" bestFit="1" customWidth="1"/>
    <col min="47" max="47" width="17.42578125" bestFit="1" customWidth="1"/>
    <col min="48" max="49" width="15" bestFit="1" customWidth="1"/>
    <col min="50" max="50" width="14" bestFit="1" customWidth="1"/>
    <col min="51" max="51" width="16" bestFit="1" customWidth="1"/>
    <col min="52" max="53" width="47.140625" bestFit="1" customWidth="1"/>
    <col min="54" max="54" width="9.85546875" bestFit="1" customWidth="1"/>
  </cols>
  <sheetData>
    <row r="1" spans="1:56" s="61" customFormat="1" ht="120" x14ac:dyDescent="0.25">
      <c r="A1" s="10" t="s">
        <v>4</v>
      </c>
      <c r="B1" s="10" t="s">
        <v>8</v>
      </c>
      <c r="C1" s="59" t="s">
        <v>225</v>
      </c>
      <c r="D1" s="60" t="s">
        <v>226</v>
      </c>
      <c r="E1" s="12" t="s">
        <v>68</v>
      </c>
      <c r="F1" s="12" t="s">
        <v>9</v>
      </c>
      <c r="G1" s="12" t="s">
        <v>10</v>
      </c>
      <c r="H1" s="10" t="s">
        <v>188</v>
      </c>
      <c r="I1" s="21" t="s">
        <v>227</v>
      </c>
      <c r="J1" s="32" t="s">
        <v>166</v>
      </c>
      <c r="K1" s="38" t="s">
        <v>214</v>
      </c>
      <c r="L1" s="38" t="s">
        <v>215</v>
      </c>
      <c r="M1" s="10" t="s">
        <v>184</v>
      </c>
      <c r="N1" s="10" t="s">
        <v>185</v>
      </c>
      <c r="O1" s="33" t="s">
        <v>131</v>
      </c>
      <c r="P1" s="31" t="s">
        <v>165</v>
      </c>
      <c r="Q1" s="35" t="s">
        <v>134</v>
      </c>
      <c r="R1" s="32" t="s">
        <v>11</v>
      </c>
      <c r="S1" s="32" t="s">
        <v>12</v>
      </c>
      <c r="T1" s="34" t="s">
        <v>132</v>
      </c>
      <c r="U1" s="34" t="s">
        <v>133</v>
      </c>
      <c r="V1" s="34" t="s">
        <v>186</v>
      </c>
      <c r="W1" s="34" t="s">
        <v>187</v>
      </c>
      <c r="X1" s="27" t="s">
        <v>135</v>
      </c>
      <c r="Y1" s="27" t="s">
        <v>136</v>
      </c>
      <c r="Z1" s="10" t="s">
        <v>137</v>
      </c>
      <c r="AA1" s="10" t="s">
        <v>138</v>
      </c>
      <c r="AB1" s="36" t="s">
        <v>139</v>
      </c>
      <c r="AC1" s="37" t="s">
        <v>140</v>
      </c>
      <c r="AD1" s="37" t="s">
        <v>141</v>
      </c>
      <c r="AE1" s="37" t="s">
        <v>13</v>
      </c>
      <c r="AF1" s="10" t="s">
        <v>167</v>
      </c>
      <c r="AG1" s="39" t="s">
        <v>142</v>
      </c>
      <c r="AH1" s="25" t="s">
        <v>80</v>
      </c>
      <c r="AI1" s="25" t="s">
        <v>81</v>
      </c>
      <c r="AJ1" s="39" t="s">
        <v>14</v>
      </c>
      <c r="AK1" s="40" t="s">
        <v>143</v>
      </c>
      <c r="AL1" s="41" t="s">
        <v>82</v>
      </c>
      <c r="AM1" s="40" t="s">
        <v>83</v>
      </c>
      <c r="AN1" s="41" t="s">
        <v>30</v>
      </c>
      <c r="AO1" s="42" t="s">
        <v>144</v>
      </c>
      <c r="AP1" s="43" t="s">
        <v>84</v>
      </c>
      <c r="AQ1" s="43" t="s">
        <v>85</v>
      </c>
      <c r="AR1" s="43" t="s">
        <v>31</v>
      </c>
      <c r="AS1" s="44" t="s">
        <v>145</v>
      </c>
      <c r="AT1" s="44" t="s">
        <v>146</v>
      </c>
      <c r="AU1" s="44" t="s">
        <v>147</v>
      </c>
      <c r="AV1" s="44" t="s">
        <v>148</v>
      </c>
      <c r="AW1" s="45" t="s">
        <v>149</v>
      </c>
      <c r="AX1" s="46" t="s">
        <v>150</v>
      </c>
      <c r="AY1" s="46" t="s">
        <v>151</v>
      </c>
      <c r="AZ1" s="46" t="s">
        <v>152</v>
      </c>
      <c r="BA1" s="10" t="s">
        <v>7</v>
      </c>
      <c r="BB1" s="38" t="s">
        <v>189</v>
      </c>
      <c r="BC1" s="47" t="s">
        <v>89</v>
      </c>
      <c r="BD1" s="10" t="s">
        <v>93</v>
      </c>
    </row>
    <row r="2" spans="1:56" x14ac:dyDescent="0.25">
      <c r="A2" t="s">
        <v>99</v>
      </c>
      <c r="B2" t="s">
        <v>110</v>
      </c>
      <c r="C2" t="b">
        <v>0</v>
      </c>
      <c r="D2" t="s">
        <v>228</v>
      </c>
      <c r="E2" s="7">
        <v>45</v>
      </c>
      <c r="F2" s="7">
        <v>365</v>
      </c>
      <c r="G2" s="7">
        <v>0.02</v>
      </c>
      <c r="H2" s="49">
        <v>32</v>
      </c>
      <c r="I2" s="48" t="s">
        <v>29</v>
      </c>
      <c r="J2" s="14" t="s">
        <v>88</v>
      </c>
      <c r="K2">
        <v>0.7</v>
      </c>
      <c r="M2">
        <v>0.35</v>
      </c>
      <c r="N2" t="s">
        <v>216</v>
      </c>
      <c r="O2" s="49" t="s">
        <v>155</v>
      </c>
      <c r="P2" s="22" t="s">
        <v>213</v>
      </c>
      <c r="Q2" s="51" t="s">
        <v>153</v>
      </c>
      <c r="R2" s="14">
        <v>0.9</v>
      </c>
      <c r="S2" s="14">
        <v>3.5000000000000003E-2</v>
      </c>
      <c r="T2" s="50">
        <v>0.9</v>
      </c>
      <c r="U2" s="50">
        <v>0.71</v>
      </c>
      <c r="V2" s="50">
        <f>24*21</f>
        <v>504</v>
      </c>
      <c r="W2" s="50">
        <f>24*7*6</f>
        <v>1008</v>
      </c>
      <c r="X2" s="30">
        <v>3</v>
      </c>
      <c r="Y2" s="30">
        <v>0</v>
      </c>
      <c r="Z2">
        <v>90</v>
      </c>
      <c r="AA2">
        <v>100</v>
      </c>
      <c r="AB2" s="8">
        <v>1</v>
      </c>
      <c r="AC2" s="8">
        <v>0</v>
      </c>
      <c r="AD2" s="8">
        <v>182.5</v>
      </c>
      <c r="AE2" s="8">
        <v>0.21634999999999999</v>
      </c>
      <c r="AF2" t="b">
        <v>1</v>
      </c>
      <c r="AG2" s="28">
        <v>1</v>
      </c>
      <c r="AH2" s="28">
        <v>0</v>
      </c>
      <c r="AI2" s="28">
        <v>182.5</v>
      </c>
      <c r="AJ2" s="28">
        <v>8.3141000000000007E-2</v>
      </c>
      <c r="AK2" s="6">
        <v>1</v>
      </c>
      <c r="AL2" s="6">
        <v>0</v>
      </c>
      <c r="AM2" s="6">
        <v>182.5</v>
      </c>
      <c r="AN2" s="6">
        <v>0.47815999999999997</v>
      </c>
      <c r="AO2" s="52">
        <v>1</v>
      </c>
      <c r="AP2" s="52">
        <v>0</v>
      </c>
      <c r="AQ2" s="52">
        <v>121.66670000000001</v>
      </c>
      <c r="AR2" s="52">
        <v>2.6738E-3</v>
      </c>
      <c r="AS2" s="53">
        <v>1</v>
      </c>
      <c r="AT2" s="53">
        <v>0</v>
      </c>
      <c r="AU2" s="53">
        <v>182.5</v>
      </c>
      <c r="AV2" s="53">
        <v>0.11268</v>
      </c>
      <c r="AW2" s="9">
        <v>1</v>
      </c>
      <c r="AX2" s="9">
        <v>0</v>
      </c>
      <c r="AY2" s="9">
        <v>121.66670000000001</v>
      </c>
      <c r="AZ2" s="9">
        <v>2.7855000000000002E-3</v>
      </c>
      <c r="BA2" t="s">
        <v>154</v>
      </c>
      <c r="BB2" t="s">
        <v>192</v>
      </c>
      <c r="BC2" t="s">
        <v>192</v>
      </c>
      <c r="BD2" t="s">
        <v>217</v>
      </c>
    </row>
    <row r="3" spans="1:56" x14ac:dyDescent="0.25">
      <c r="A3" t="s">
        <v>99</v>
      </c>
      <c r="B3" t="s">
        <v>111</v>
      </c>
      <c r="C3" t="b">
        <v>0</v>
      </c>
      <c r="D3" t="s">
        <v>228</v>
      </c>
      <c r="E3" s="7">
        <v>45</v>
      </c>
      <c r="F3" s="7">
        <v>365</v>
      </c>
      <c r="G3" s="7">
        <v>0.02</v>
      </c>
      <c r="H3" s="49">
        <v>32</v>
      </c>
      <c r="I3" s="48" t="s">
        <v>29</v>
      </c>
      <c r="J3" s="14" t="s">
        <v>88</v>
      </c>
      <c r="K3">
        <v>0.7</v>
      </c>
      <c r="M3">
        <v>0.35</v>
      </c>
      <c r="N3" t="s">
        <v>216</v>
      </c>
      <c r="O3" s="49" t="s">
        <v>155</v>
      </c>
      <c r="P3" s="22" t="s">
        <v>213</v>
      </c>
      <c r="Q3" s="51" t="s">
        <v>153</v>
      </c>
      <c r="R3" s="14">
        <v>0.9</v>
      </c>
      <c r="S3" s="14">
        <v>3.5000000000000003E-2</v>
      </c>
      <c r="T3" s="50">
        <v>0.9</v>
      </c>
      <c r="U3" s="50">
        <v>0.71</v>
      </c>
      <c r="V3" s="50">
        <f>24*21</f>
        <v>504</v>
      </c>
      <c r="W3" s="50">
        <f>24*7*6</f>
        <v>1008</v>
      </c>
      <c r="X3" s="30">
        <v>3</v>
      </c>
      <c r="Y3" s="30">
        <v>0</v>
      </c>
      <c r="Z3">
        <v>90</v>
      </c>
      <c r="AA3">
        <v>100</v>
      </c>
      <c r="AB3" s="8">
        <v>1</v>
      </c>
      <c r="AC3" s="8">
        <v>0</v>
      </c>
      <c r="AD3" s="8">
        <v>182.5</v>
      </c>
      <c r="AE3" s="8">
        <v>0.21634999999999999</v>
      </c>
      <c r="AF3" t="b">
        <v>1</v>
      </c>
      <c r="AG3" s="28">
        <v>1</v>
      </c>
      <c r="AH3" s="28">
        <v>0</v>
      </c>
      <c r="AI3" s="28">
        <v>182.5</v>
      </c>
      <c r="AJ3" s="28">
        <v>8.3141000000000007E-2</v>
      </c>
      <c r="AK3" s="6">
        <v>1</v>
      </c>
      <c r="AL3" s="6">
        <v>0</v>
      </c>
      <c r="AM3" s="6">
        <v>182.5</v>
      </c>
      <c r="AN3" s="6">
        <v>0.47815999999999997</v>
      </c>
      <c r="AO3" s="52">
        <v>1</v>
      </c>
      <c r="AP3" s="52">
        <v>0</v>
      </c>
      <c r="AQ3" s="52">
        <v>121.66670000000001</v>
      </c>
      <c r="AR3" s="52">
        <v>2.6738E-3</v>
      </c>
      <c r="AS3" s="53">
        <v>1</v>
      </c>
      <c r="AT3" s="53">
        <v>0</v>
      </c>
      <c r="AU3" s="53">
        <v>182.5</v>
      </c>
      <c r="AV3" s="53">
        <v>0.11268</v>
      </c>
      <c r="AW3" s="9">
        <v>1</v>
      </c>
      <c r="AX3" s="9">
        <v>0</v>
      </c>
      <c r="AY3" s="9">
        <v>121.66670000000001</v>
      </c>
      <c r="AZ3" s="9">
        <v>2.7855000000000002E-3</v>
      </c>
      <c r="BA3" t="s">
        <v>154</v>
      </c>
      <c r="BB3" t="s">
        <v>192</v>
      </c>
      <c r="BC3" t="s">
        <v>192</v>
      </c>
      <c r="BD3" t="s">
        <v>217</v>
      </c>
    </row>
    <row r="4" spans="1:56" x14ac:dyDescent="0.25">
      <c r="A4" t="s">
        <v>99</v>
      </c>
      <c r="B4" t="s">
        <v>112</v>
      </c>
      <c r="C4" t="b">
        <v>0</v>
      </c>
      <c r="D4" t="s">
        <v>228</v>
      </c>
      <c r="E4" s="7">
        <v>45</v>
      </c>
      <c r="F4" s="7">
        <v>365</v>
      </c>
      <c r="G4" s="7">
        <v>0.02</v>
      </c>
      <c r="H4" s="49">
        <v>32</v>
      </c>
      <c r="I4" s="48" t="s">
        <v>29</v>
      </c>
      <c r="J4" s="14" t="s">
        <v>88</v>
      </c>
      <c r="K4">
        <v>0.7</v>
      </c>
      <c r="M4">
        <v>0.35</v>
      </c>
      <c r="N4" t="s">
        <v>216</v>
      </c>
      <c r="O4" s="49" t="s">
        <v>155</v>
      </c>
      <c r="P4" s="22" t="s">
        <v>213</v>
      </c>
      <c r="Q4" s="51" t="s">
        <v>153</v>
      </c>
      <c r="R4" s="14">
        <v>0.9</v>
      </c>
      <c r="S4" s="14">
        <v>3.5000000000000003E-2</v>
      </c>
      <c r="T4" s="50">
        <v>0.9</v>
      </c>
      <c r="U4" s="50">
        <v>0.71</v>
      </c>
      <c r="V4" s="50">
        <f t="shared" ref="V4:V9" si="0">24*21</f>
        <v>504</v>
      </c>
      <c r="W4" s="50">
        <f t="shared" ref="W4:W9" si="1">24*7*6</f>
        <v>1008</v>
      </c>
      <c r="X4" s="30">
        <v>3</v>
      </c>
      <c r="Y4" s="30">
        <v>0</v>
      </c>
      <c r="Z4">
        <v>90</v>
      </c>
      <c r="AA4">
        <v>100</v>
      </c>
      <c r="AB4" s="8">
        <v>1</v>
      </c>
      <c r="AC4" s="8">
        <v>0</v>
      </c>
      <c r="AD4" s="8">
        <v>182.5</v>
      </c>
      <c r="AE4" s="8">
        <v>0.21634999999999999</v>
      </c>
      <c r="AF4" t="b">
        <v>1</v>
      </c>
      <c r="AG4" s="28">
        <v>1</v>
      </c>
      <c r="AH4" s="28">
        <v>0</v>
      </c>
      <c r="AI4" s="28">
        <v>182.5</v>
      </c>
      <c r="AJ4" s="28">
        <v>8.3141000000000007E-2</v>
      </c>
      <c r="AK4" s="6">
        <v>1</v>
      </c>
      <c r="AL4" s="6">
        <v>0</v>
      </c>
      <c r="AM4" s="6">
        <v>182.5</v>
      </c>
      <c r="AN4" s="6">
        <v>0.47815999999999997</v>
      </c>
      <c r="AO4" s="52">
        <v>1</v>
      </c>
      <c r="AP4" s="52">
        <v>0</v>
      </c>
      <c r="AQ4" s="52">
        <v>121.66670000000001</v>
      </c>
      <c r="AR4" s="52">
        <v>2.6738E-3</v>
      </c>
      <c r="AS4" s="53">
        <v>1</v>
      </c>
      <c r="AT4" s="53">
        <v>0</v>
      </c>
      <c r="AU4" s="53">
        <v>182.5</v>
      </c>
      <c r="AV4" s="53">
        <v>0.11268</v>
      </c>
      <c r="AW4" s="9">
        <v>1</v>
      </c>
      <c r="AX4" s="9">
        <v>0</v>
      </c>
      <c r="AY4" s="9">
        <v>121.66670000000001</v>
      </c>
      <c r="AZ4" s="9">
        <v>2.7855000000000002E-3</v>
      </c>
      <c r="BA4" t="s">
        <v>154</v>
      </c>
      <c r="BB4" t="s">
        <v>192</v>
      </c>
      <c r="BC4" t="s">
        <v>192</v>
      </c>
      <c r="BD4" t="s">
        <v>217</v>
      </c>
    </row>
    <row r="5" spans="1:56" x14ac:dyDescent="0.25">
      <c r="A5" t="s">
        <v>99</v>
      </c>
      <c r="B5" t="s">
        <v>113</v>
      </c>
      <c r="C5" t="b">
        <v>0</v>
      </c>
      <c r="D5" t="s">
        <v>228</v>
      </c>
      <c r="E5" s="7">
        <v>45</v>
      </c>
      <c r="F5" s="7">
        <v>365</v>
      </c>
      <c r="G5" s="7">
        <v>0.02</v>
      </c>
      <c r="H5" s="49">
        <v>32</v>
      </c>
      <c r="I5" s="48" t="s">
        <v>29</v>
      </c>
      <c r="J5" s="14" t="s">
        <v>88</v>
      </c>
      <c r="K5">
        <v>0.7</v>
      </c>
      <c r="M5">
        <v>0.35</v>
      </c>
      <c r="N5" t="s">
        <v>216</v>
      </c>
      <c r="O5" s="49" t="s">
        <v>155</v>
      </c>
      <c r="P5" s="22" t="s">
        <v>213</v>
      </c>
      <c r="Q5" s="51" t="s">
        <v>153</v>
      </c>
      <c r="R5" s="14">
        <v>0.9</v>
      </c>
      <c r="S5" s="14">
        <v>3.5000000000000003E-2</v>
      </c>
      <c r="T5" s="50">
        <v>0.9</v>
      </c>
      <c r="U5" s="50">
        <v>0.71</v>
      </c>
      <c r="V5" s="50">
        <f t="shared" si="0"/>
        <v>504</v>
      </c>
      <c r="W5" s="50">
        <f t="shared" si="1"/>
        <v>1008</v>
      </c>
      <c r="X5" s="30">
        <v>3</v>
      </c>
      <c r="Y5" s="30">
        <v>0</v>
      </c>
      <c r="Z5">
        <v>90</v>
      </c>
      <c r="AA5">
        <v>100</v>
      </c>
      <c r="AB5" s="8">
        <v>1</v>
      </c>
      <c r="AC5" s="8">
        <v>0</v>
      </c>
      <c r="AD5" s="8">
        <v>182.5</v>
      </c>
      <c r="AE5" s="8">
        <v>0.21634999999999999</v>
      </c>
      <c r="AF5" t="b">
        <v>1</v>
      </c>
      <c r="AG5" s="28">
        <v>1</v>
      </c>
      <c r="AH5" s="28">
        <v>0</v>
      </c>
      <c r="AI5" s="28">
        <v>182.5</v>
      </c>
      <c r="AJ5" s="28">
        <v>8.3141000000000007E-2</v>
      </c>
      <c r="AK5" s="6">
        <v>1</v>
      </c>
      <c r="AL5" s="6">
        <v>0</v>
      </c>
      <c r="AM5" s="6">
        <v>182.5</v>
      </c>
      <c r="AN5" s="6">
        <v>0.47815999999999997</v>
      </c>
      <c r="AO5" s="52">
        <v>1</v>
      </c>
      <c r="AP5" s="52">
        <v>0</v>
      </c>
      <c r="AQ5" s="52">
        <v>121.66670000000001</v>
      </c>
      <c r="AR5" s="52">
        <v>2.6738E-3</v>
      </c>
      <c r="AS5" s="53">
        <v>1</v>
      </c>
      <c r="AT5" s="53">
        <v>0</v>
      </c>
      <c r="AU5" s="53">
        <v>182.5</v>
      </c>
      <c r="AV5" s="53">
        <v>0.11268</v>
      </c>
      <c r="AW5" s="9">
        <v>1</v>
      </c>
      <c r="AX5" s="9">
        <v>0</v>
      </c>
      <c r="AY5" s="9">
        <v>121.66670000000001</v>
      </c>
      <c r="AZ5" s="9">
        <v>2.7855000000000002E-3</v>
      </c>
      <c r="BA5" t="s">
        <v>154</v>
      </c>
      <c r="BB5" t="s">
        <v>192</v>
      </c>
      <c r="BC5" t="s">
        <v>192</v>
      </c>
      <c r="BD5" t="s">
        <v>217</v>
      </c>
    </row>
    <row r="6" spans="1:56" x14ac:dyDescent="0.25">
      <c r="A6" t="s">
        <v>99</v>
      </c>
      <c r="B6" t="s">
        <v>114</v>
      </c>
      <c r="C6" t="b">
        <v>0</v>
      </c>
      <c r="D6" t="s">
        <v>228</v>
      </c>
      <c r="E6" s="7">
        <v>45</v>
      </c>
      <c r="F6" s="7">
        <v>365</v>
      </c>
      <c r="G6" s="7">
        <v>0.02</v>
      </c>
      <c r="H6" s="49">
        <v>32</v>
      </c>
      <c r="I6" s="48" t="s">
        <v>29</v>
      </c>
      <c r="J6" s="14" t="s">
        <v>88</v>
      </c>
      <c r="K6">
        <v>0.7</v>
      </c>
      <c r="M6">
        <v>0.35</v>
      </c>
      <c r="N6" t="s">
        <v>216</v>
      </c>
      <c r="O6" s="49" t="s">
        <v>155</v>
      </c>
      <c r="P6" s="22" t="s">
        <v>213</v>
      </c>
      <c r="Q6" s="51" t="s">
        <v>153</v>
      </c>
      <c r="R6" s="14">
        <v>0.9</v>
      </c>
      <c r="S6" s="14">
        <v>3.5000000000000003E-2</v>
      </c>
      <c r="T6" s="50">
        <v>0.9</v>
      </c>
      <c r="U6" s="50">
        <v>0.71</v>
      </c>
      <c r="V6" s="50">
        <f t="shared" si="0"/>
        <v>504</v>
      </c>
      <c r="W6" s="50">
        <f t="shared" si="1"/>
        <v>1008</v>
      </c>
      <c r="X6" s="30">
        <v>3</v>
      </c>
      <c r="Y6" s="30">
        <v>0</v>
      </c>
      <c r="Z6">
        <v>90</v>
      </c>
      <c r="AA6">
        <v>100</v>
      </c>
      <c r="AB6" s="8">
        <v>1</v>
      </c>
      <c r="AC6" s="8">
        <v>0</v>
      </c>
      <c r="AD6" s="8">
        <v>182.5</v>
      </c>
      <c r="AE6" s="8">
        <v>0.21634999999999999</v>
      </c>
      <c r="AF6" t="b">
        <v>1</v>
      </c>
      <c r="AG6" s="28">
        <v>1</v>
      </c>
      <c r="AH6" s="28">
        <v>0</v>
      </c>
      <c r="AI6" s="28">
        <v>182.5</v>
      </c>
      <c r="AJ6" s="28">
        <v>8.3141000000000007E-2</v>
      </c>
      <c r="AK6" s="6">
        <v>1</v>
      </c>
      <c r="AL6" s="6">
        <v>0</v>
      </c>
      <c r="AM6" s="6">
        <v>182.5</v>
      </c>
      <c r="AN6" s="6">
        <v>0.47815999999999997</v>
      </c>
      <c r="AO6" s="52">
        <v>1</v>
      </c>
      <c r="AP6" s="52">
        <v>0</v>
      </c>
      <c r="AQ6" s="52">
        <v>121.66670000000001</v>
      </c>
      <c r="AR6" s="52">
        <v>2.6738E-3</v>
      </c>
      <c r="AS6" s="53">
        <v>1</v>
      </c>
      <c r="AT6" s="53">
        <v>0</v>
      </c>
      <c r="AU6" s="53">
        <v>182.5</v>
      </c>
      <c r="AV6" s="53">
        <v>0.11268</v>
      </c>
      <c r="AW6" s="9">
        <v>1</v>
      </c>
      <c r="AX6" s="9">
        <v>0</v>
      </c>
      <c r="AY6" s="9">
        <v>121.66670000000001</v>
      </c>
      <c r="AZ6" s="9">
        <v>2.7855000000000002E-3</v>
      </c>
      <c r="BA6" t="s">
        <v>154</v>
      </c>
      <c r="BB6" t="s">
        <v>192</v>
      </c>
      <c r="BC6" t="s">
        <v>192</v>
      </c>
      <c r="BD6" t="s">
        <v>217</v>
      </c>
    </row>
    <row r="7" spans="1:56" x14ac:dyDescent="0.25">
      <c r="A7" t="s">
        <v>99</v>
      </c>
      <c r="B7" t="s">
        <v>115</v>
      </c>
      <c r="C7" t="b">
        <v>0</v>
      </c>
      <c r="D7" t="s">
        <v>228</v>
      </c>
      <c r="E7" s="7">
        <v>45</v>
      </c>
      <c r="F7" s="7">
        <v>365</v>
      </c>
      <c r="G7" s="7">
        <v>0.02</v>
      </c>
      <c r="H7" s="49">
        <v>32</v>
      </c>
      <c r="I7" s="48" t="s">
        <v>29</v>
      </c>
      <c r="J7" s="14" t="s">
        <v>88</v>
      </c>
      <c r="K7">
        <v>0.7</v>
      </c>
      <c r="M7">
        <v>0.35</v>
      </c>
      <c r="N7" t="s">
        <v>216</v>
      </c>
      <c r="O7" s="49" t="s">
        <v>155</v>
      </c>
      <c r="P7" s="22" t="s">
        <v>213</v>
      </c>
      <c r="Q7" s="51" t="s">
        <v>153</v>
      </c>
      <c r="R7" s="14">
        <v>0.9</v>
      </c>
      <c r="S7" s="14">
        <v>3.5000000000000003E-2</v>
      </c>
      <c r="T7" s="50">
        <v>0.9</v>
      </c>
      <c r="U7" s="50">
        <v>0.71</v>
      </c>
      <c r="V7" s="50">
        <f t="shared" si="0"/>
        <v>504</v>
      </c>
      <c r="W7" s="50">
        <f t="shared" si="1"/>
        <v>1008</v>
      </c>
      <c r="X7" s="30">
        <v>3</v>
      </c>
      <c r="Y7" s="30">
        <v>0</v>
      </c>
      <c r="Z7">
        <v>90</v>
      </c>
      <c r="AA7">
        <v>100</v>
      </c>
      <c r="AB7" s="8">
        <v>1</v>
      </c>
      <c r="AC7" s="8">
        <v>0</v>
      </c>
      <c r="AD7" s="8">
        <v>182.5</v>
      </c>
      <c r="AE7" s="8">
        <v>0.21634999999999999</v>
      </c>
      <c r="AF7" t="b">
        <v>1</v>
      </c>
      <c r="AG7" s="28">
        <v>1</v>
      </c>
      <c r="AH7" s="28">
        <v>0</v>
      </c>
      <c r="AI7" s="28">
        <v>182.5</v>
      </c>
      <c r="AJ7" s="28">
        <v>8.3141000000000007E-2</v>
      </c>
      <c r="AK7" s="6">
        <v>1</v>
      </c>
      <c r="AL7" s="6">
        <v>0</v>
      </c>
      <c r="AM7" s="6">
        <v>182.5</v>
      </c>
      <c r="AN7" s="6">
        <v>0.47815999999999997</v>
      </c>
      <c r="AO7" s="52">
        <v>1</v>
      </c>
      <c r="AP7" s="52">
        <v>0</v>
      </c>
      <c r="AQ7" s="52">
        <v>121.66670000000001</v>
      </c>
      <c r="AR7" s="52">
        <v>2.6738E-3</v>
      </c>
      <c r="AS7" s="53">
        <v>1</v>
      </c>
      <c r="AT7" s="53">
        <v>0</v>
      </c>
      <c r="AU7" s="53">
        <v>182.5</v>
      </c>
      <c r="AV7" s="53">
        <v>0.11268</v>
      </c>
      <c r="AW7" s="9">
        <v>1</v>
      </c>
      <c r="AX7" s="9">
        <v>0</v>
      </c>
      <c r="AY7" s="9">
        <v>121.66670000000001</v>
      </c>
      <c r="AZ7" s="9">
        <v>2.7855000000000002E-3</v>
      </c>
      <c r="BA7" t="s">
        <v>154</v>
      </c>
      <c r="BB7" t="s">
        <v>192</v>
      </c>
      <c r="BC7" t="s">
        <v>192</v>
      </c>
      <c r="BD7" t="s">
        <v>217</v>
      </c>
    </row>
    <row r="8" spans="1:56" x14ac:dyDescent="0.25">
      <c r="A8" t="s">
        <v>99</v>
      </c>
      <c r="B8" t="s">
        <v>116</v>
      </c>
      <c r="C8" t="b">
        <v>0</v>
      </c>
      <c r="D8" t="s">
        <v>228</v>
      </c>
      <c r="E8" s="7">
        <v>45</v>
      </c>
      <c r="F8" s="7">
        <v>365</v>
      </c>
      <c r="G8" s="7">
        <v>0.02</v>
      </c>
      <c r="H8" s="49">
        <v>32</v>
      </c>
      <c r="I8" s="48" t="s">
        <v>29</v>
      </c>
      <c r="J8" s="14" t="s">
        <v>88</v>
      </c>
      <c r="K8">
        <v>0.7</v>
      </c>
      <c r="M8">
        <v>0.35</v>
      </c>
      <c r="N8" t="s">
        <v>216</v>
      </c>
      <c r="O8" s="49" t="s">
        <v>155</v>
      </c>
      <c r="P8" s="22" t="s">
        <v>213</v>
      </c>
      <c r="Q8" s="51" t="s">
        <v>153</v>
      </c>
      <c r="R8" s="14">
        <v>0.9</v>
      </c>
      <c r="S8" s="14">
        <v>3.5000000000000003E-2</v>
      </c>
      <c r="T8" s="50">
        <v>0.9</v>
      </c>
      <c r="U8" s="50">
        <v>0.71</v>
      </c>
      <c r="V8" s="50">
        <f t="shared" si="0"/>
        <v>504</v>
      </c>
      <c r="W8" s="50">
        <f t="shared" si="1"/>
        <v>1008</v>
      </c>
      <c r="X8" s="30">
        <v>3</v>
      </c>
      <c r="Y8" s="30">
        <v>0</v>
      </c>
      <c r="Z8">
        <v>90</v>
      </c>
      <c r="AA8">
        <v>100</v>
      </c>
      <c r="AB8" s="8">
        <v>1</v>
      </c>
      <c r="AC8" s="8">
        <v>0</v>
      </c>
      <c r="AD8" s="8">
        <v>182.5</v>
      </c>
      <c r="AE8" s="8">
        <v>0.21634999999999999</v>
      </c>
      <c r="AF8" t="b">
        <v>1</v>
      </c>
      <c r="AG8" s="28">
        <v>1</v>
      </c>
      <c r="AH8" s="28">
        <v>0</v>
      </c>
      <c r="AI8" s="28">
        <v>182.5</v>
      </c>
      <c r="AJ8" s="28">
        <v>8.3141000000000007E-2</v>
      </c>
      <c r="AK8" s="6">
        <v>1</v>
      </c>
      <c r="AL8" s="6">
        <v>0</v>
      </c>
      <c r="AM8" s="6">
        <v>182.5</v>
      </c>
      <c r="AN8" s="6">
        <v>0.47815999999999997</v>
      </c>
      <c r="AO8" s="52">
        <v>1</v>
      </c>
      <c r="AP8" s="52">
        <v>0</v>
      </c>
      <c r="AQ8" s="52">
        <v>121.66670000000001</v>
      </c>
      <c r="AR8" s="52">
        <v>2.6738E-3</v>
      </c>
      <c r="AS8" s="53">
        <v>1</v>
      </c>
      <c r="AT8" s="53">
        <v>0</v>
      </c>
      <c r="AU8" s="53">
        <v>182.5</v>
      </c>
      <c r="AV8" s="53">
        <v>0.11268</v>
      </c>
      <c r="AW8" s="9">
        <v>1</v>
      </c>
      <c r="AX8" s="9">
        <v>0</v>
      </c>
      <c r="AY8" s="9">
        <v>121.66670000000001</v>
      </c>
      <c r="AZ8" s="9">
        <v>2.7855000000000002E-3</v>
      </c>
      <c r="BA8" t="s">
        <v>154</v>
      </c>
      <c r="BB8" t="s">
        <v>192</v>
      </c>
      <c r="BC8" t="s">
        <v>192</v>
      </c>
      <c r="BD8" t="s">
        <v>217</v>
      </c>
    </row>
    <row r="9" spans="1:56" x14ac:dyDescent="0.25">
      <c r="A9" t="s">
        <v>99</v>
      </c>
      <c r="B9" t="s">
        <v>117</v>
      </c>
      <c r="C9" t="b">
        <v>0</v>
      </c>
      <c r="D9" t="s">
        <v>228</v>
      </c>
      <c r="E9" s="7">
        <v>45</v>
      </c>
      <c r="F9" s="7">
        <v>365</v>
      </c>
      <c r="G9" s="7">
        <v>0.02</v>
      </c>
      <c r="H9" s="49">
        <v>65</v>
      </c>
      <c r="I9" s="48" t="s">
        <v>29</v>
      </c>
      <c r="J9" s="14" t="s">
        <v>88</v>
      </c>
      <c r="K9">
        <v>0.7</v>
      </c>
      <c r="M9">
        <v>0.35</v>
      </c>
      <c r="N9" t="s">
        <v>216</v>
      </c>
      <c r="O9" s="49" t="s">
        <v>155</v>
      </c>
      <c r="P9" s="22" t="s">
        <v>213</v>
      </c>
      <c r="Q9" s="51" t="s">
        <v>153</v>
      </c>
      <c r="R9" s="14">
        <v>0.9</v>
      </c>
      <c r="S9" s="14">
        <v>3.5000000000000003E-2</v>
      </c>
      <c r="T9" s="50">
        <v>0.9</v>
      </c>
      <c r="U9" s="50">
        <v>0.71</v>
      </c>
      <c r="V9" s="50">
        <f t="shared" si="0"/>
        <v>504</v>
      </c>
      <c r="W9" s="50">
        <f t="shared" si="1"/>
        <v>1008</v>
      </c>
      <c r="X9" s="30">
        <v>3</v>
      </c>
      <c r="Y9" s="30">
        <v>0</v>
      </c>
      <c r="Z9">
        <v>90</v>
      </c>
      <c r="AA9">
        <v>100</v>
      </c>
      <c r="AB9" s="8">
        <v>1</v>
      </c>
      <c r="AC9" s="8">
        <v>0</v>
      </c>
      <c r="AD9" s="8">
        <v>182.5</v>
      </c>
      <c r="AE9" s="8">
        <v>0.21634999999999999</v>
      </c>
      <c r="AF9" t="b">
        <v>1</v>
      </c>
      <c r="AG9" s="28">
        <v>1</v>
      </c>
      <c r="AH9" s="28">
        <v>0</v>
      </c>
      <c r="AI9" s="28">
        <v>182.5</v>
      </c>
      <c r="AJ9" s="28">
        <v>8.3141000000000007E-2</v>
      </c>
      <c r="AK9" s="6">
        <v>1</v>
      </c>
      <c r="AL9" s="6">
        <v>0</v>
      </c>
      <c r="AM9" s="6">
        <v>182.5</v>
      </c>
      <c r="AN9" s="6">
        <v>0.47815999999999997</v>
      </c>
      <c r="AO9" s="52">
        <v>1</v>
      </c>
      <c r="AP9" s="52">
        <v>0</v>
      </c>
      <c r="AQ9" s="52">
        <v>121.66670000000001</v>
      </c>
      <c r="AR9" s="52">
        <v>2.6738E-3</v>
      </c>
      <c r="AS9" s="53">
        <v>1</v>
      </c>
      <c r="AT9" s="53">
        <v>0</v>
      </c>
      <c r="AU9" s="53">
        <v>182.5</v>
      </c>
      <c r="AV9" s="53">
        <v>0.11268</v>
      </c>
      <c r="AW9" s="9">
        <v>1</v>
      </c>
      <c r="AX9" s="9">
        <v>0</v>
      </c>
      <c r="AY9" s="9">
        <v>121.66670000000001</v>
      </c>
      <c r="AZ9" s="9">
        <v>2.7855000000000002E-3</v>
      </c>
      <c r="BA9" t="s">
        <v>154</v>
      </c>
      <c r="BB9" t="s">
        <v>192</v>
      </c>
      <c r="BC9" t="s">
        <v>192</v>
      </c>
      <c r="BD9" t="s">
        <v>217</v>
      </c>
    </row>
  </sheetData>
  <phoneticPr fontId="3" type="noConversion"/>
  <pageMargins left="0.75" right="0.75" top="1" bottom="1" header="0.5" footer="0.5"/>
  <pageSetup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4CBC9-E240-4A6F-BB4B-8DAB1536C2C9}">
  <dimension ref="A1:S3"/>
  <sheetViews>
    <sheetView workbookViewId="0">
      <selection activeCell="G19" sqref="G19"/>
    </sheetView>
  </sheetViews>
  <sheetFormatPr defaultColWidth="8.85546875" defaultRowHeight="15" x14ac:dyDescent="0.25"/>
  <cols>
    <col min="4" max="4" width="12.28515625" customWidth="1"/>
    <col min="6" max="6" width="10.28515625" customWidth="1"/>
    <col min="9" max="9" width="11.85546875" bestFit="1" customWidth="1"/>
    <col min="13" max="13" width="11.28515625" bestFit="1" customWidth="1"/>
    <col min="16" max="16" width="11.28515625" bestFit="1" customWidth="1"/>
    <col min="18" max="18" width="47.140625" bestFit="1" customWidth="1"/>
    <col min="19" max="19" width="13.42578125" bestFit="1" customWidth="1"/>
  </cols>
  <sheetData>
    <row r="1" spans="1:19" ht="75" x14ac:dyDescent="0.25">
      <c r="A1" s="15" t="s">
        <v>4</v>
      </c>
      <c r="B1" s="15" t="s">
        <v>8</v>
      </c>
      <c r="C1" s="16" t="s">
        <v>9</v>
      </c>
      <c r="D1" s="16" t="s">
        <v>68</v>
      </c>
      <c r="E1" s="16" t="s">
        <v>10</v>
      </c>
      <c r="F1" s="15" t="s">
        <v>15</v>
      </c>
      <c r="G1" s="15" t="s">
        <v>72</v>
      </c>
      <c r="H1" s="15" t="s">
        <v>73</v>
      </c>
      <c r="I1" s="15" t="s">
        <v>90</v>
      </c>
      <c r="J1" s="15" t="s">
        <v>16</v>
      </c>
      <c r="K1" s="15" t="s">
        <v>74</v>
      </c>
      <c r="L1" s="15" t="s">
        <v>75</v>
      </c>
      <c r="M1" s="15" t="s">
        <v>91</v>
      </c>
      <c r="N1" s="15" t="s">
        <v>70</v>
      </c>
      <c r="O1" s="15" t="s">
        <v>71</v>
      </c>
      <c r="P1" s="15" t="s">
        <v>92</v>
      </c>
      <c r="Q1" s="15" t="s">
        <v>7</v>
      </c>
      <c r="R1" s="15" t="s">
        <v>189</v>
      </c>
      <c r="S1" s="15" t="s">
        <v>93</v>
      </c>
    </row>
    <row r="2" spans="1:19" x14ac:dyDescent="0.25">
      <c r="A2" t="s">
        <v>99</v>
      </c>
      <c r="B2" t="s">
        <v>108</v>
      </c>
      <c r="C2" s="7">
        <v>45</v>
      </c>
      <c r="D2" s="7">
        <v>365</v>
      </c>
      <c r="E2" s="7">
        <v>3.7499999999999999E-2</v>
      </c>
      <c r="F2">
        <v>0.75</v>
      </c>
      <c r="G2">
        <v>1</v>
      </c>
      <c r="H2">
        <v>7</v>
      </c>
      <c r="I2">
        <v>0.9</v>
      </c>
      <c r="J2">
        <v>0.25</v>
      </c>
      <c r="K2">
        <v>8.3333329999999997E-2</v>
      </c>
      <c r="L2">
        <v>2</v>
      </c>
      <c r="M2">
        <v>0</v>
      </c>
      <c r="N2">
        <v>90</v>
      </c>
      <c r="O2">
        <v>360</v>
      </c>
      <c r="P2">
        <v>0.98</v>
      </c>
      <c r="Q2" t="s">
        <v>66</v>
      </c>
      <c r="R2" t="s">
        <v>192</v>
      </c>
      <c r="S2" t="s">
        <v>201</v>
      </c>
    </row>
    <row r="3" spans="1:19" x14ac:dyDescent="0.25">
      <c r="A3" t="s">
        <v>99</v>
      </c>
      <c r="B3" t="s">
        <v>109</v>
      </c>
      <c r="C3" s="7">
        <v>45</v>
      </c>
      <c r="D3" s="7">
        <v>365</v>
      </c>
      <c r="E3" s="7">
        <v>3.7499999999999999E-2</v>
      </c>
      <c r="F3">
        <v>0.75</v>
      </c>
      <c r="G3">
        <v>1</v>
      </c>
      <c r="H3">
        <v>7</v>
      </c>
      <c r="I3">
        <v>0.9</v>
      </c>
      <c r="J3">
        <v>0.25</v>
      </c>
      <c r="K3">
        <v>8.3333329999999997E-2</v>
      </c>
      <c r="L3">
        <v>2</v>
      </c>
      <c r="M3">
        <v>0</v>
      </c>
      <c r="N3">
        <v>90</v>
      </c>
      <c r="O3">
        <v>360</v>
      </c>
      <c r="P3">
        <v>0.98</v>
      </c>
      <c r="Q3" t="s">
        <v>66</v>
      </c>
      <c r="R3" t="s">
        <v>192</v>
      </c>
      <c r="S3" t="s">
        <v>201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0"/>
  <sheetViews>
    <sheetView workbookViewId="0">
      <selection activeCell="E16" sqref="E16"/>
    </sheetView>
  </sheetViews>
  <sheetFormatPr defaultColWidth="8.85546875" defaultRowHeight="15" x14ac:dyDescent="0.25"/>
  <cols>
    <col min="1" max="1" width="20.85546875" bestFit="1" customWidth="1"/>
    <col min="2" max="2" width="15.42578125" bestFit="1" customWidth="1"/>
    <col min="3" max="3" width="19.85546875" bestFit="1" customWidth="1"/>
    <col min="4" max="4" width="13.85546875" bestFit="1" customWidth="1"/>
    <col min="5" max="5" width="19.85546875" bestFit="1" customWidth="1"/>
    <col min="6" max="6" width="16.28515625" bestFit="1" customWidth="1"/>
    <col min="7" max="7" width="23.28515625" bestFit="1" customWidth="1"/>
  </cols>
  <sheetData>
    <row r="1" spans="1:7" x14ac:dyDescent="0.25">
      <c r="A1" s="1" t="s">
        <v>7</v>
      </c>
      <c r="B1" s="1" t="s">
        <v>43</v>
      </c>
      <c r="C1" s="1" t="s">
        <v>44</v>
      </c>
      <c r="D1" s="1" t="s">
        <v>45</v>
      </c>
      <c r="E1" s="1" t="s">
        <v>46</v>
      </c>
      <c r="F1" s="4" t="s">
        <v>47</v>
      </c>
      <c r="G1" s="4" t="s">
        <v>48</v>
      </c>
    </row>
    <row r="2" spans="1:7" x14ac:dyDescent="0.25">
      <c r="A2" t="s">
        <v>67</v>
      </c>
      <c r="B2" t="s">
        <v>99</v>
      </c>
      <c r="C2" t="s">
        <v>100</v>
      </c>
      <c r="D2" t="s">
        <v>99</v>
      </c>
      <c r="E2" t="s">
        <v>33</v>
      </c>
      <c r="F2" t="s">
        <v>62</v>
      </c>
      <c r="G2" s="5"/>
    </row>
    <row r="3" spans="1:7" x14ac:dyDescent="0.25">
      <c r="A3" t="s">
        <v>67</v>
      </c>
      <c r="B3" t="s">
        <v>99</v>
      </c>
      <c r="C3" t="s">
        <v>102</v>
      </c>
      <c r="D3" t="s">
        <v>99</v>
      </c>
      <c r="E3" t="s">
        <v>34</v>
      </c>
      <c r="F3" t="s">
        <v>62</v>
      </c>
    </row>
    <row r="4" spans="1:7" x14ac:dyDescent="0.25">
      <c r="A4" t="s">
        <v>67</v>
      </c>
      <c r="B4" t="s">
        <v>99</v>
      </c>
      <c r="C4" t="s">
        <v>101</v>
      </c>
      <c r="D4" t="s">
        <v>99</v>
      </c>
      <c r="E4" t="s">
        <v>35</v>
      </c>
      <c r="F4" t="s">
        <v>62</v>
      </c>
    </row>
    <row r="5" spans="1:7" x14ac:dyDescent="0.25">
      <c r="A5" t="s">
        <v>67</v>
      </c>
      <c r="B5" t="s">
        <v>99</v>
      </c>
      <c r="C5" t="s">
        <v>103</v>
      </c>
      <c r="D5" t="s">
        <v>99</v>
      </c>
      <c r="E5" t="s">
        <v>36</v>
      </c>
      <c r="F5" t="s">
        <v>62</v>
      </c>
    </row>
    <row r="6" spans="1:7" x14ac:dyDescent="0.25">
      <c r="A6" t="s">
        <v>67</v>
      </c>
      <c r="B6" t="s">
        <v>99</v>
      </c>
      <c r="C6" t="s">
        <v>106</v>
      </c>
      <c r="D6" t="s">
        <v>99</v>
      </c>
      <c r="E6" t="s">
        <v>37</v>
      </c>
      <c r="F6" t="s">
        <v>62</v>
      </c>
    </row>
    <row r="7" spans="1:7" x14ac:dyDescent="0.25">
      <c r="A7" t="s">
        <v>67</v>
      </c>
      <c r="B7" t="s">
        <v>99</v>
      </c>
      <c r="C7" t="s">
        <v>107</v>
      </c>
      <c r="D7" t="s">
        <v>99</v>
      </c>
      <c r="E7" t="s">
        <v>38</v>
      </c>
      <c r="F7" t="s">
        <v>62</v>
      </c>
    </row>
    <row r="8" spans="1:7" x14ac:dyDescent="0.25">
      <c r="A8" t="s">
        <v>67</v>
      </c>
      <c r="B8" t="s">
        <v>99</v>
      </c>
      <c r="C8" t="s">
        <v>105</v>
      </c>
      <c r="D8" t="s">
        <v>99</v>
      </c>
      <c r="E8" t="s">
        <v>39</v>
      </c>
      <c r="F8" t="s">
        <v>62</v>
      </c>
    </row>
    <row r="9" spans="1:7" x14ac:dyDescent="0.25">
      <c r="A9" t="s">
        <v>67</v>
      </c>
      <c r="B9" t="s">
        <v>99</v>
      </c>
      <c r="C9" t="s">
        <v>104</v>
      </c>
      <c r="D9" t="s">
        <v>99</v>
      </c>
      <c r="E9" t="s">
        <v>40</v>
      </c>
      <c r="F9" t="s">
        <v>62</v>
      </c>
    </row>
    <row r="10" spans="1:7" x14ac:dyDescent="0.25">
      <c r="A10" t="s">
        <v>67</v>
      </c>
      <c r="B10" t="s">
        <v>99</v>
      </c>
      <c r="C10" t="s">
        <v>100</v>
      </c>
      <c r="D10" t="s">
        <v>99</v>
      </c>
      <c r="E10" t="s">
        <v>33</v>
      </c>
      <c r="F10" t="s">
        <v>63</v>
      </c>
    </row>
    <row r="11" spans="1:7" x14ac:dyDescent="0.25">
      <c r="A11" t="s">
        <v>67</v>
      </c>
      <c r="B11" t="s">
        <v>99</v>
      </c>
      <c r="C11" t="s">
        <v>102</v>
      </c>
      <c r="D11" t="s">
        <v>99</v>
      </c>
      <c r="E11" t="s">
        <v>34</v>
      </c>
      <c r="F11" t="s">
        <v>63</v>
      </c>
    </row>
    <row r="12" spans="1:7" x14ac:dyDescent="0.25">
      <c r="A12" t="s">
        <v>67</v>
      </c>
      <c r="B12" t="s">
        <v>99</v>
      </c>
      <c r="C12" t="s">
        <v>101</v>
      </c>
      <c r="D12" t="s">
        <v>99</v>
      </c>
      <c r="E12" t="s">
        <v>35</v>
      </c>
      <c r="F12" t="s">
        <v>63</v>
      </c>
    </row>
    <row r="13" spans="1:7" x14ac:dyDescent="0.25">
      <c r="A13" t="s">
        <v>67</v>
      </c>
      <c r="B13" t="s">
        <v>99</v>
      </c>
      <c r="C13" t="s">
        <v>103</v>
      </c>
      <c r="D13" t="s">
        <v>99</v>
      </c>
      <c r="E13" t="s">
        <v>36</v>
      </c>
      <c r="F13" t="s">
        <v>63</v>
      </c>
    </row>
    <row r="14" spans="1:7" x14ac:dyDescent="0.25">
      <c r="A14" t="s">
        <v>67</v>
      </c>
      <c r="B14" t="s">
        <v>99</v>
      </c>
      <c r="C14" t="s">
        <v>106</v>
      </c>
      <c r="D14" t="s">
        <v>99</v>
      </c>
      <c r="E14" t="s">
        <v>37</v>
      </c>
      <c r="F14" t="s">
        <v>63</v>
      </c>
    </row>
    <row r="15" spans="1:7" x14ac:dyDescent="0.25">
      <c r="A15" t="s">
        <v>67</v>
      </c>
      <c r="B15" t="s">
        <v>99</v>
      </c>
      <c r="C15" t="s">
        <v>107</v>
      </c>
      <c r="D15" t="s">
        <v>99</v>
      </c>
      <c r="E15" t="s">
        <v>38</v>
      </c>
      <c r="F15" t="s">
        <v>63</v>
      </c>
    </row>
    <row r="16" spans="1:7" x14ac:dyDescent="0.25">
      <c r="A16" t="s">
        <v>67</v>
      </c>
      <c r="B16" t="s">
        <v>99</v>
      </c>
      <c r="C16" t="s">
        <v>105</v>
      </c>
      <c r="D16" t="s">
        <v>99</v>
      </c>
      <c r="E16" t="s">
        <v>39</v>
      </c>
      <c r="F16" t="s">
        <v>63</v>
      </c>
    </row>
    <row r="17" spans="1:7" x14ac:dyDescent="0.25">
      <c r="A17" t="s">
        <v>67</v>
      </c>
      <c r="B17" t="s">
        <v>99</v>
      </c>
      <c r="C17" t="s">
        <v>104</v>
      </c>
      <c r="D17" t="s">
        <v>99</v>
      </c>
      <c r="E17" t="s">
        <v>40</v>
      </c>
      <c r="F17" t="s">
        <v>63</v>
      </c>
    </row>
    <row r="19" spans="1:7" x14ac:dyDescent="0.25">
      <c r="A19" t="s">
        <v>67</v>
      </c>
      <c r="B19" t="s">
        <v>99</v>
      </c>
      <c r="C19" t="s">
        <v>33</v>
      </c>
      <c r="D19" t="s">
        <v>99</v>
      </c>
      <c r="E19" t="s">
        <v>49</v>
      </c>
      <c r="F19" t="s">
        <v>62</v>
      </c>
      <c r="G19" t="s">
        <v>156</v>
      </c>
    </row>
    <row r="20" spans="1:7" x14ac:dyDescent="0.25">
      <c r="A20" t="s">
        <v>67</v>
      </c>
      <c r="B20" t="s">
        <v>99</v>
      </c>
      <c r="C20" t="s">
        <v>33</v>
      </c>
      <c r="D20" t="s">
        <v>99</v>
      </c>
      <c r="E20" t="s">
        <v>49</v>
      </c>
      <c r="F20" t="s">
        <v>63</v>
      </c>
      <c r="G20" t="s">
        <v>64</v>
      </c>
    </row>
    <row r="21" spans="1:7" x14ac:dyDescent="0.25">
      <c r="A21" t="s">
        <v>67</v>
      </c>
      <c r="B21" t="s">
        <v>99</v>
      </c>
      <c r="C21" t="s">
        <v>33</v>
      </c>
      <c r="D21" t="s">
        <v>99</v>
      </c>
      <c r="E21" t="s">
        <v>49</v>
      </c>
      <c r="F21" t="s">
        <v>94</v>
      </c>
      <c r="G21" t="s">
        <v>157</v>
      </c>
    </row>
    <row r="22" spans="1:7" x14ac:dyDescent="0.25">
      <c r="A22" t="s">
        <v>67</v>
      </c>
      <c r="B22" t="s">
        <v>99</v>
      </c>
      <c r="C22" t="s">
        <v>33</v>
      </c>
      <c r="D22" t="s">
        <v>99</v>
      </c>
      <c r="E22" t="s">
        <v>49</v>
      </c>
      <c r="F22" t="s">
        <v>94</v>
      </c>
      <c r="G22" t="s">
        <v>158</v>
      </c>
    </row>
    <row r="23" spans="1:7" x14ac:dyDescent="0.25">
      <c r="A23" t="s">
        <v>67</v>
      </c>
      <c r="B23" t="s">
        <v>99</v>
      </c>
      <c r="C23" t="s">
        <v>34</v>
      </c>
      <c r="D23" t="s">
        <v>99</v>
      </c>
      <c r="E23" t="s">
        <v>50</v>
      </c>
      <c r="F23" t="s">
        <v>62</v>
      </c>
      <c r="G23" t="s">
        <v>156</v>
      </c>
    </row>
    <row r="24" spans="1:7" x14ac:dyDescent="0.25">
      <c r="A24" t="s">
        <v>67</v>
      </c>
      <c r="B24" t="s">
        <v>99</v>
      </c>
      <c r="C24" t="s">
        <v>34</v>
      </c>
      <c r="D24" t="s">
        <v>99</v>
      </c>
      <c r="E24" t="s">
        <v>50</v>
      </c>
      <c r="F24" t="s">
        <v>63</v>
      </c>
      <c r="G24" t="s">
        <v>64</v>
      </c>
    </row>
    <row r="25" spans="1:7" x14ac:dyDescent="0.25">
      <c r="A25" t="s">
        <v>67</v>
      </c>
      <c r="B25" t="s">
        <v>99</v>
      </c>
      <c r="C25" t="s">
        <v>34</v>
      </c>
      <c r="D25" t="s">
        <v>99</v>
      </c>
      <c r="E25" t="s">
        <v>50</v>
      </c>
      <c r="F25" t="s">
        <v>94</v>
      </c>
      <c r="G25" t="s">
        <v>157</v>
      </c>
    </row>
    <row r="26" spans="1:7" x14ac:dyDescent="0.25">
      <c r="A26" t="s">
        <v>67</v>
      </c>
      <c r="B26" t="s">
        <v>99</v>
      </c>
      <c r="C26" t="s">
        <v>34</v>
      </c>
      <c r="D26" t="s">
        <v>99</v>
      </c>
      <c r="E26" t="s">
        <v>50</v>
      </c>
      <c r="F26" t="s">
        <v>94</v>
      </c>
      <c r="G26" t="s">
        <v>158</v>
      </c>
    </row>
    <row r="27" spans="1:7" x14ac:dyDescent="0.25">
      <c r="A27" t="s">
        <v>67</v>
      </c>
      <c r="B27" t="s">
        <v>99</v>
      </c>
      <c r="C27" t="s">
        <v>35</v>
      </c>
      <c r="D27" t="s">
        <v>99</v>
      </c>
      <c r="E27" t="s">
        <v>51</v>
      </c>
      <c r="F27" t="s">
        <v>62</v>
      </c>
      <c r="G27" t="s">
        <v>156</v>
      </c>
    </row>
    <row r="28" spans="1:7" x14ac:dyDescent="0.25">
      <c r="A28" t="s">
        <v>67</v>
      </c>
      <c r="B28" t="s">
        <v>99</v>
      </c>
      <c r="C28" t="s">
        <v>35</v>
      </c>
      <c r="D28" t="s">
        <v>99</v>
      </c>
      <c r="E28" t="s">
        <v>51</v>
      </c>
      <c r="F28" t="s">
        <v>63</v>
      </c>
      <c r="G28" t="s">
        <v>64</v>
      </c>
    </row>
    <row r="29" spans="1:7" x14ac:dyDescent="0.25">
      <c r="A29" t="s">
        <v>67</v>
      </c>
      <c r="B29" t="s">
        <v>99</v>
      </c>
      <c r="C29" t="s">
        <v>35</v>
      </c>
      <c r="D29" t="s">
        <v>99</v>
      </c>
      <c r="E29" t="s">
        <v>51</v>
      </c>
      <c r="F29" t="s">
        <v>94</v>
      </c>
      <c r="G29" t="s">
        <v>157</v>
      </c>
    </row>
    <row r="30" spans="1:7" x14ac:dyDescent="0.25">
      <c r="A30" t="s">
        <v>67</v>
      </c>
      <c r="B30" t="s">
        <v>99</v>
      </c>
      <c r="C30" t="s">
        <v>35</v>
      </c>
      <c r="D30" t="s">
        <v>99</v>
      </c>
      <c r="E30" t="s">
        <v>51</v>
      </c>
      <c r="F30" t="s">
        <v>94</v>
      </c>
      <c r="G30" t="s">
        <v>158</v>
      </c>
    </row>
    <row r="31" spans="1:7" x14ac:dyDescent="0.25">
      <c r="A31" t="s">
        <v>67</v>
      </c>
      <c r="B31" t="s">
        <v>99</v>
      </c>
      <c r="C31" t="s">
        <v>36</v>
      </c>
      <c r="D31" t="s">
        <v>99</v>
      </c>
      <c r="E31" t="s">
        <v>52</v>
      </c>
      <c r="F31" t="s">
        <v>62</v>
      </c>
      <c r="G31" t="s">
        <v>156</v>
      </c>
    </row>
    <row r="32" spans="1:7" x14ac:dyDescent="0.25">
      <c r="A32" t="s">
        <v>67</v>
      </c>
      <c r="B32" t="s">
        <v>99</v>
      </c>
      <c r="C32" t="s">
        <v>36</v>
      </c>
      <c r="D32" t="s">
        <v>99</v>
      </c>
      <c r="E32" t="s">
        <v>52</v>
      </c>
      <c r="F32" t="s">
        <v>63</v>
      </c>
      <c r="G32" t="s">
        <v>64</v>
      </c>
    </row>
    <row r="33" spans="1:7" x14ac:dyDescent="0.25">
      <c r="A33" t="s">
        <v>67</v>
      </c>
      <c r="B33" t="s">
        <v>99</v>
      </c>
      <c r="C33" t="s">
        <v>36</v>
      </c>
      <c r="D33" t="s">
        <v>99</v>
      </c>
      <c r="E33" t="s">
        <v>52</v>
      </c>
      <c r="F33" t="s">
        <v>94</v>
      </c>
      <c r="G33" t="s">
        <v>157</v>
      </c>
    </row>
    <row r="34" spans="1:7" x14ac:dyDescent="0.25">
      <c r="A34" t="s">
        <v>67</v>
      </c>
      <c r="B34" t="s">
        <v>99</v>
      </c>
      <c r="C34" t="s">
        <v>36</v>
      </c>
      <c r="D34" t="s">
        <v>99</v>
      </c>
      <c r="E34" t="s">
        <v>52</v>
      </c>
      <c r="F34" t="s">
        <v>94</v>
      </c>
      <c r="G34" t="s">
        <v>158</v>
      </c>
    </row>
    <row r="35" spans="1:7" x14ac:dyDescent="0.25">
      <c r="A35" t="s">
        <v>67</v>
      </c>
      <c r="B35" t="s">
        <v>99</v>
      </c>
      <c r="C35" t="s">
        <v>37</v>
      </c>
      <c r="D35" t="s">
        <v>99</v>
      </c>
      <c r="E35" t="s">
        <v>53</v>
      </c>
      <c r="F35" t="s">
        <v>62</v>
      </c>
      <c r="G35" t="s">
        <v>156</v>
      </c>
    </row>
    <row r="36" spans="1:7" x14ac:dyDescent="0.25">
      <c r="A36" t="s">
        <v>67</v>
      </c>
      <c r="B36" t="s">
        <v>99</v>
      </c>
      <c r="C36" t="s">
        <v>37</v>
      </c>
      <c r="D36" t="s">
        <v>99</v>
      </c>
      <c r="E36" t="s">
        <v>53</v>
      </c>
      <c r="F36" t="s">
        <v>63</v>
      </c>
      <c r="G36" t="s">
        <v>64</v>
      </c>
    </row>
    <row r="37" spans="1:7" x14ac:dyDescent="0.25">
      <c r="A37" t="s">
        <v>67</v>
      </c>
      <c r="B37" t="s">
        <v>99</v>
      </c>
      <c r="C37" t="s">
        <v>37</v>
      </c>
      <c r="D37" t="s">
        <v>99</v>
      </c>
      <c r="E37" t="s">
        <v>53</v>
      </c>
      <c r="F37" t="s">
        <v>94</v>
      </c>
      <c r="G37" t="s">
        <v>157</v>
      </c>
    </row>
    <row r="38" spans="1:7" x14ac:dyDescent="0.25">
      <c r="A38" t="s">
        <v>67</v>
      </c>
      <c r="B38" t="s">
        <v>99</v>
      </c>
      <c r="C38" t="s">
        <v>37</v>
      </c>
      <c r="D38" t="s">
        <v>99</v>
      </c>
      <c r="E38" t="s">
        <v>53</v>
      </c>
      <c r="F38" t="s">
        <v>94</v>
      </c>
      <c r="G38" t="s">
        <v>158</v>
      </c>
    </row>
    <row r="39" spans="1:7" x14ac:dyDescent="0.25">
      <c r="A39" t="s">
        <v>67</v>
      </c>
      <c r="B39" t="s">
        <v>99</v>
      </c>
      <c r="C39" t="s">
        <v>38</v>
      </c>
      <c r="D39" t="s">
        <v>99</v>
      </c>
      <c r="E39" t="s">
        <v>54</v>
      </c>
      <c r="F39" t="s">
        <v>62</v>
      </c>
      <c r="G39" t="s">
        <v>156</v>
      </c>
    </row>
    <row r="40" spans="1:7" x14ac:dyDescent="0.25">
      <c r="A40" t="s">
        <v>67</v>
      </c>
      <c r="B40" t="s">
        <v>99</v>
      </c>
      <c r="C40" t="s">
        <v>38</v>
      </c>
      <c r="D40" t="s">
        <v>99</v>
      </c>
      <c r="E40" t="s">
        <v>54</v>
      </c>
      <c r="F40" t="s">
        <v>63</v>
      </c>
      <c r="G40" t="s">
        <v>64</v>
      </c>
    </row>
    <row r="41" spans="1:7" x14ac:dyDescent="0.25">
      <c r="A41" t="s">
        <v>67</v>
      </c>
      <c r="B41" t="s">
        <v>99</v>
      </c>
      <c r="C41" t="s">
        <v>38</v>
      </c>
      <c r="D41" t="s">
        <v>99</v>
      </c>
      <c r="E41" t="s">
        <v>54</v>
      </c>
      <c r="F41" t="s">
        <v>94</v>
      </c>
      <c r="G41" t="s">
        <v>157</v>
      </c>
    </row>
    <row r="42" spans="1:7" x14ac:dyDescent="0.25">
      <c r="A42" t="s">
        <v>67</v>
      </c>
      <c r="B42" t="s">
        <v>99</v>
      </c>
      <c r="C42" t="s">
        <v>38</v>
      </c>
      <c r="D42" t="s">
        <v>99</v>
      </c>
      <c r="E42" t="s">
        <v>54</v>
      </c>
      <c r="F42" t="s">
        <v>94</v>
      </c>
      <c r="G42" t="s">
        <v>158</v>
      </c>
    </row>
    <row r="43" spans="1:7" x14ac:dyDescent="0.25">
      <c r="A43" t="s">
        <v>67</v>
      </c>
      <c r="B43" t="s">
        <v>99</v>
      </c>
      <c r="C43" t="s">
        <v>39</v>
      </c>
      <c r="D43" t="s">
        <v>99</v>
      </c>
      <c r="E43" t="s">
        <v>55</v>
      </c>
      <c r="F43" t="s">
        <v>62</v>
      </c>
      <c r="G43" t="s">
        <v>156</v>
      </c>
    </row>
    <row r="44" spans="1:7" x14ac:dyDescent="0.25">
      <c r="A44" t="s">
        <v>67</v>
      </c>
      <c r="B44" t="s">
        <v>99</v>
      </c>
      <c r="C44" t="s">
        <v>39</v>
      </c>
      <c r="D44" t="s">
        <v>99</v>
      </c>
      <c r="E44" t="s">
        <v>55</v>
      </c>
      <c r="F44" t="s">
        <v>63</v>
      </c>
      <c r="G44" t="s">
        <v>64</v>
      </c>
    </row>
    <row r="45" spans="1:7" x14ac:dyDescent="0.25">
      <c r="A45" t="s">
        <v>67</v>
      </c>
      <c r="B45" t="s">
        <v>99</v>
      </c>
      <c r="C45" t="s">
        <v>39</v>
      </c>
      <c r="D45" t="s">
        <v>99</v>
      </c>
      <c r="E45" t="s">
        <v>55</v>
      </c>
      <c r="F45" t="s">
        <v>94</v>
      </c>
      <c r="G45" t="s">
        <v>157</v>
      </c>
    </row>
    <row r="46" spans="1:7" x14ac:dyDescent="0.25">
      <c r="A46" t="s">
        <v>67</v>
      </c>
      <c r="B46" t="s">
        <v>99</v>
      </c>
      <c r="C46" t="s">
        <v>39</v>
      </c>
      <c r="D46" t="s">
        <v>99</v>
      </c>
      <c r="E46" t="s">
        <v>55</v>
      </c>
      <c r="F46" t="s">
        <v>94</v>
      </c>
      <c r="G46" t="s">
        <v>158</v>
      </c>
    </row>
    <row r="47" spans="1:7" x14ac:dyDescent="0.25">
      <c r="A47" t="s">
        <v>67</v>
      </c>
      <c r="B47" t="s">
        <v>99</v>
      </c>
      <c r="C47" t="s">
        <v>40</v>
      </c>
      <c r="D47" t="s">
        <v>99</v>
      </c>
      <c r="E47" t="s">
        <v>56</v>
      </c>
      <c r="F47" t="s">
        <v>62</v>
      </c>
      <c r="G47" t="s">
        <v>156</v>
      </c>
    </row>
    <row r="48" spans="1:7" x14ac:dyDescent="0.25">
      <c r="A48" t="s">
        <v>67</v>
      </c>
      <c r="B48" t="s">
        <v>99</v>
      </c>
      <c r="C48" t="s">
        <v>40</v>
      </c>
      <c r="D48" t="s">
        <v>99</v>
      </c>
      <c r="E48" t="s">
        <v>56</v>
      </c>
      <c r="F48" t="s">
        <v>63</v>
      </c>
      <c r="G48" t="s">
        <v>64</v>
      </c>
    </row>
    <row r="49" spans="1:7" x14ac:dyDescent="0.25">
      <c r="A49" t="s">
        <v>67</v>
      </c>
      <c r="B49" t="s">
        <v>99</v>
      </c>
      <c r="C49" t="s">
        <v>40</v>
      </c>
      <c r="D49" t="s">
        <v>99</v>
      </c>
      <c r="E49" t="s">
        <v>56</v>
      </c>
      <c r="F49" t="s">
        <v>94</v>
      </c>
      <c r="G49" t="s">
        <v>157</v>
      </c>
    </row>
    <row r="50" spans="1:7" x14ac:dyDescent="0.25">
      <c r="A50" t="s">
        <v>67</v>
      </c>
      <c r="B50" t="s">
        <v>99</v>
      </c>
      <c r="C50" t="s">
        <v>40</v>
      </c>
      <c r="D50" t="s">
        <v>99</v>
      </c>
      <c r="E50" t="s">
        <v>56</v>
      </c>
      <c r="F50" t="s">
        <v>94</v>
      </c>
      <c r="G50" t="s">
        <v>158</v>
      </c>
    </row>
    <row r="52" spans="1:7" x14ac:dyDescent="0.25">
      <c r="A52" t="s">
        <v>67</v>
      </c>
      <c r="B52" t="s">
        <v>99</v>
      </c>
      <c r="C52" t="s">
        <v>49</v>
      </c>
      <c r="D52" t="s">
        <v>99</v>
      </c>
      <c r="E52" t="s">
        <v>27</v>
      </c>
      <c r="F52" t="s">
        <v>63</v>
      </c>
      <c r="G52" t="s">
        <v>64</v>
      </c>
    </row>
    <row r="53" spans="1:7" x14ac:dyDescent="0.25">
      <c r="A53" t="s">
        <v>67</v>
      </c>
      <c r="B53" t="s">
        <v>99</v>
      </c>
      <c r="C53" t="s">
        <v>50</v>
      </c>
      <c r="D53" t="s">
        <v>99</v>
      </c>
      <c r="E53" t="s">
        <v>27</v>
      </c>
      <c r="F53" t="s">
        <v>63</v>
      </c>
      <c r="G53" t="s">
        <v>64</v>
      </c>
    </row>
    <row r="54" spans="1:7" x14ac:dyDescent="0.25">
      <c r="A54" t="s">
        <v>67</v>
      </c>
      <c r="B54" t="s">
        <v>99</v>
      </c>
      <c r="C54" t="s">
        <v>51</v>
      </c>
      <c r="D54" t="s">
        <v>99</v>
      </c>
      <c r="E54" t="s">
        <v>27</v>
      </c>
      <c r="F54" t="s">
        <v>63</v>
      </c>
      <c r="G54" t="s">
        <v>64</v>
      </c>
    </row>
    <row r="55" spans="1:7" x14ac:dyDescent="0.25">
      <c r="A55" t="s">
        <v>67</v>
      </c>
      <c r="B55" t="s">
        <v>99</v>
      </c>
      <c r="C55" t="s">
        <v>52</v>
      </c>
      <c r="D55" t="s">
        <v>99</v>
      </c>
      <c r="E55" t="s">
        <v>27</v>
      </c>
      <c r="F55" t="s">
        <v>63</v>
      </c>
      <c r="G55" t="s">
        <v>64</v>
      </c>
    </row>
    <row r="56" spans="1:7" x14ac:dyDescent="0.25">
      <c r="A56" t="s">
        <v>67</v>
      </c>
      <c r="B56" t="s">
        <v>99</v>
      </c>
      <c r="C56" t="s">
        <v>53</v>
      </c>
      <c r="D56" t="s">
        <v>99</v>
      </c>
      <c r="E56" t="s">
        <v>27</v>
      </c>
      <c r="F56" t="s">
        <v>63</v>
      </c>
      <c r="G56" t="s">
        <v>64</v>
      </c>
    </row>
    <row r="57" spans="1:7" x14ac:dyDescent="0.25">
      <c r="A57" t="s">
        <v>67</v>
      </c>
      <c r="B57" t="s">
        <v>99</v>
      </c>
      <c r="C57" t="s">
        <v>54</v>
      </c>
      <c r="D57" t="s">
        <v>99</v>
      </c>
      <c r="E57" t="s">
        <v>27</v>
      </c>
      <c r="F57" t="s">
        <v>63</v>
      </c>
      <c r="G57" t="s">
        <v>64</v>
      </c>
    </row>
    <row r="58" spans="1:7" x14ac:dyDescent="0.25">
      <c r="A58" t="s">
        <v>67</v>
      </c>
      <c r="B58" t="s">
        <v>99</v>
      </c>
      <c r="C58" t="s">
        <v>55</v>
      </c>
      <c r="D58" t="s">
        <v>99</v>
      </c>
      <c r="E58" t="s">
        <v>27</v>
      </c>
      <c r="F58" t="s">
        <v>63</v>
      </c>
      <c r="G58" t="s">
        <v>64</v>
      </c>
    </row>
    <row r="59" spans="1:7" x14ac:dyDescent="0.25">
      <c r="A59" t="s">
        <v>67</v>
      </c>
      <c r="B59" t="s">
        <v>99</v>
      </c>
      <c r="C59" t="s">
        <v>56</v>
      </c>
      <c r="D59" t="s">
        <v>99</v>
      </c>
      <c r="E59" t="s">
        <v>27</v>
      </c>
      <c r="F59" t="s">
        <v>63</v>
      </c>
      <c r="G59" t="s">
        <v>64</v>
      </c>
    </row>
    <row r="61" spans="1:7" x14ac:dyDescent="0.25">
      <c r="A61" t="s">
        <v>67</v>
      </c>
      <c r="B61" t="s">
        <v>99</v>
      </c>
      <c r="C61" t="s">
        <v>49</v>
      </c>
      <c r="D61" t="s">
        <v>99</v>
      </c>
      <c r="E61" t="s">
        <v>28</v>
      </c>
      <c r="F61" t="s">
        <v>62</v>
      </c>
      <c r="G61" t="s">
        <v>156</v>
      </c>
    </row>
    <row r="62" spans="1:7" x14ac:dyDescent="0.25">
      <c r="A62" t="s">
        <v>67</v>
      </c>
      <c r="B62" t="s">
        <v>99</v>
      </c>
      <c r="C62" t="s">
        <v>49</v>
      </c>
      <c r="D62" t="s">
        <v>99</v>
      </c>
      <c r="E62" t="s">
        <v>28</v>
      </c>
      <c r="F62" t="s">
        <v>94</v>
      </c>
      <c r="G62" t="s">
        <v>157</v>
      </c>
    </row>
    <row r="63" spans="1:7" x14ac:dyDescent="0.25">
      <c r="A63" t="s">
        <v>67</v>
      </c>
      <c r="B63" t="s">
        <v>99</v>
      </c>
      <c r="C63" t="s">
        <v>49</v>
      </c>
      <c r="D63" t="s">
        <v>99</v>
      </c>
      <c r="E63" t="s">
        <v>28</v>
      </c>
      <c r="F63" t="s">
        <v>94</v>
      </c>
      <c r="G63" t="s">
        <v>158</v>
      </c>
    </row>
    <row r="64" spans="1:7" x14ac:dyDescent="0.25">
      <c r="A64" t="s">
        <v>67</v>
      </c>
      <c r="B64" t="s">
        <v>99</v>
      </c>
      <c r="C64" t="s">
        <v>49</v>
      </c>
      <c r="D64" t="s">
        <v>99</v>
      </c>
      <c r="E64" t="s">
        <v>28</v>
      </c>
      <c r="F64" t="s">
        <v>94</v>
      </c>
      <c r="G64" t="s">
        <v>183</v>
      </c>
    </row>
    <row r="65" spans="1:7" x14ac:dyDescent="0.25">
      <c r="A65" t="s">
        <v>67</v>
      </c>
      <c r="B65" t="s">
        <v>99</v>
      </c>
      <c r="C65" t="s">
        <v>50</v>
      </c>
      <c r="D65" t="s">
        <v>99</v>
      </c>
      <c r="E65" t="s">
        <v>28</v>
      </c>
      <c r="F65" t="s">
        <v>62</v>
      </c>
      <c r="G65" t="s">
        <v>156</v>
      </c>
    </row>
    <row r="66" spans="1:7" x14ac:dyDescent="0.25">
      <c r="A66" t="s">
        <v>67</v>
      </c>
      <c r="B66" t="s">
        <v>99</v>
      </c>
      <c r="C66" t="s">
        <v>50</v>
      </c>
      <c r="D66" t="s">
        <v>99</v>
      </c>
      <c r="E66" t="s">
        <v>28</v>
      </c>
      <c r="F66" t="s">
        <v>94</v>
      </c>
      <c r="G66" t="s">
        <v>157</v>
      </c>
    </row>
    <row r="67" spans="1:7" x14ac:dyDescent="0.25">
      <c r="A67" t="s">
        <v>67</v>
      </c>
      <c r="B67" t="s">
        <v>99</v>
      </c>
      <c r="C67" t="s">
        <v>50</v>
      </c>
      <c r="D67" t="s">
        <v>99</v>
      </c>
      <c r="E67" t="s">
        <v>28</v>
      </c>
      <c r="F67" t="s">
        <v>94</v>
      </c>
      <c r="G67" t="s">
        <v>158</v>
      </c>
    </row>
    <row r="68" spans="1:7" x14ac:dyDescent="0.25">
      <c r="A68" t="s">
        <v>67</v>
      </c>
      <c r="B68" t="s">
        <v>99</v>
      </c>
      <c r="C68" t="s">
        <v>50</v>
      </c>
      <c r="D68" t="s">
        <v>99</v>
      </c>
      <c r="E68" t="s">
        <v>28</v>
      </c>
      <c r="F68" t="s">
        <v>94</v>
      </c>
      <c r="G68" t="s">
        <v>183</v>
      </c>
    </row>
    <row r="69" spans="1:7" x14ac:dyDescent="0.25">
      <c r="A69" t="s">
        <v>67</v>
      </c>
      <c r="B69" t="s">
        <v>99</v>
      </c>
      <c r="C69" t="s">
        <v>51</v>
      </c>
      <c r="D69" t="s">
        <v>99</v>
      </c>
      <c r="E69" t="s">
        <v>28</v>
      </c>
      <c r="F69" t="s">
        <v>62</v>
      </c>
      <c r="G69" t="s">
        <v>156</v>
      </c>
    </row>
    <row r="70" spans="1:7" x14ac:dyDescent="0.25">
      <c r="A70" t="s">
        <v>67</v>
      </c>
      <c r="B70" t="s">
        <v>99</v>
      </c>
      <c r="C70" t="s">
        <v>51</v>
      </c>
      <c r="D70" t="s">
        <v>99</v>
      </c>
      <c r="E70" t="s">
        <v>28</v>
      </c>
      <c r="F70" t="s">
        <v>94</v>
      </c>
      <c r="G70" t="s">
        <v>157</v>
      </c>
    </row>
    <row r="71" spans="1:7" x14ac:dyDescent="0.25">
      <c r="A71" t="s">
        <v>67</v>
      </c>
      <c r="B71" t="s">
        <v>99</v>
      </c>
      <c r="C71" t="s">
        <v>51</v>
      </c>
      <c r="D71" t="s">
        <v>99</v>
      </c>
      <c r="E71" t="s">
        <v>28</v>
      </c>
      <c r="F71" t="s">
        <v>94</v>
      </c>
      <c r="G71" t="s">
        <v>158</v>
      </c>
    </row>
    <row r="72" spans="1:7" x14ac:dyDescent="0.25">
      <c r="A72" t="s">
        <v>67</v>
      </c>
      <c r="B72" t="s">
        <v>99</v>
      </c>
      <c r="C72" t="s">
        <v>51</v>
      </c>
      <c r="D72" t="s">
        <v>99</v>
      </c>
      <c r="E72" t="s">
        <v>28</v>
      </c>
      <c r="F72" t="s">
        <v>94</v>
      </c>
      <c r="G72" t="s">
        <v>183</v>
      </c>
    </row>
    <row r="73" spans="1:7" x14ac:dyDescent="0.25">
      <c r="A73" t="s">
        <v>67</v>
      </c>
      <c r="B73" t="s">
        <v>99</v>
      </c>
      <c r="C73" t="s">
        <v>52</v>
      </c>
      <c r="D73" t="s">
        <v>99</v>
      </c>
      <c r="E73" t="s">
        <v>28</v>
      </c>
      <c r="F73" t="s">
        <v>62</v>
      </c>
      <c r="G73" t="s">
        <v>156</v>
      </c>
    </row>
    <row r="74" spans="1:7" x14ac:dyDescent="0.25">
      <c r="A74" t="s">
        <v>67</v>
      </c>
      <c r="B74" t="s">
        <v>99</v>
      </c>
      <c r="C74" t="s">
        <v>52</v>
      </c>
      <c r="D74" t="s">
        <v>99</v>
      </c>
      <c r="E74" t="s">
        <v>28</v>
      </c>
      <c r="F74" t="s">
        <v>94</v>
      </c>
      <c r="G74" t="s">
        <v>157</v>
      </c>
    </row>
    <row r="75" spans="1:7" x14ac:dyDescent="0.25">
      <c r="A75" t="s">
        <v>67</v>
      </c>
      <c r="B75" t="s">
        <v>99</v>
      </c>
      <c r="C75" t="s">
        <v>52</v>
      </c>
      <c r="D75" t="s">
        <v>99</v>
      </c>
      <c r="E75" t="s">
        <v>28</v>
      </c>
      <c r="F75" t="s">
        <v>94</v>
      </c>
      <c r="G75" t="s">
        <v>158</v>
      </c>
    </row>
    <row r="76" spans="1:7" x14ac:dyDescent="0.25">
      <c r="A76" t="s">
        <v>67</v>
      </c>
      <c r="B76" t="s">
        <v>99</v>
      </c>
      <c r="C76" t="s">
        <v>52</v>
      </c>
      <c r="D76" t="s">
        <v>99</v>
      </c>
      <c r="E76" t="s">
        <v>28</v>
      </c>
      <c r="F76" t="s">
        <v>94</v>
      </c>
      <c r="G76" t="s">
        <v>183</v>
      </c>
    </row>
    <row r="77" spans="1:7" x14ac:dyDescent="0.25">
      <c r="A77" t="s">
        <v>67</v>
      </c>
      <c r="B77" t="s">
        <v>99</v>
      </c>
      <c r="C77" t="s">
        <v>53</v>
      </c>
      <c r="D77" t="s">
        <v>99</v>
      </c>
      <c r="E77" t="s">
        <v>28</v>
      </c>
      <c r="F77" t="s">
        <v>62</v>
      </c>
      <c r="G77" t="s">
        <v>156</v>
      </c>
    </row>
    <row r="78" spans="1:7" x14ac:dyDescent="0.25">
      <c r="A78" t="s">
        <v>67</v>
      </c>
      <c r="B78" t="s">
        <v>99</v>
      </c>
      <c r="C78" t="s">
        <v>53</v>
      </c>
      <c r="D78" t="s">
        <v>99</v>
      </c>
      <c r="E78" t="s">
        <v>28</v>
      </c>
      <c r="F78" t="s">
        <v>94</v>
      </c>
      <c r="G78" t="s">
        <v>157</v>
      </c>
    </row>
    <row r="79" spans="1:7" x14ac:dyDescent="0.25">
      <c r="A79" t="s">
        <v>67</v>
      </c>
      <c r="B79" t="s">
        <v>99</v>
      </c>
      <c r="C79" t="s">
        <v>53</v>
      </c>
      <c r="D79" t="s">
        <v>99</v>
      </c>
      <c r="E79" t="s">
        <v>28</v>
      </c>
      <c r="F79" t="s">
        <v>94</v>
      </c>
      <c r="G79" t="s">
        <v>158</v>
      </c>
    </row>
    <row r="80" spans="1:7" x14ac:dyDescent="0.25">
      <c r="A80" t="s">
        <v>67</v>
      </c>
      <c r="B80" t="s">
        <v>99</v>
      </c>
      <c r="C80" t="s">
        <v>53</v>
      </c>
      <c r="D80" t="s">
        <v>99</v>
      </c>
      <c r="E80" t="s">
        <v>28</v>
      </c>
      <c r="F80" t="s">
        <v>94</v>
      </c>
      <c r="G80" t="s">
        <v>183</v>
      </c>
    </row>
    <row r="81" spans="1:7" x14ac:dyDescent="0.25">
      <c r="A81" t="s">
        <v>67</v>
      </c>
      <c r="B81" t="s">
        <v>99</v>
      </c>
      <c r="C81" t="s">
        <v>54</v>
      </c>
      <c r="D81" t="s">
        <v>99</v>
      </c>
      <c r="E81" t="s">
        <v>28</v>
      </c>
      <c r="F81" t="s">
        <v>62</v>
      </c>
      <c r="G81" t="s">
        <v>156</v>
      </c>
    </row>
    <row r="82" spans="1:7" x14ac:dyDescent="0.25">
      <c r="A82" t="s">
        <v>67</v>
      </c>
      <c r="B82" t="s">
        <v>99</v>
      </c>
      <c r="C82" t="s">
        <v>54</v>
      </c>
      <c r="D82" t="s">
        <v>99</v>
      </c>
      <c r="E82" t="s">
        <v>28</v>
      </c>
      <c r="F82" t="s">
        <v>94</v>
      </c>
      <c r="G82" t="s">
        <v>157</v>
      </c>
    </row>
    <row r="83" spans="1:7" x14ac:dyDescent="0.25">
      <c r="A83" t="s">
        <v>67</v>
      </c>
      <c r="B83" t="s">
        <v>99</v>
      </c>
      <c r="C83" t="s">
        <v>54</v>
      </c>
      <c r="D83" t="s">
        <v>99</v>
      </c>
      <c r="E83" t="s">
        <v>28</v>
      </c>
      <c r="F83" t="s">
        <v>94</v>
      </c>
      <c r="G83" t="s">
        <v>158</v>
      </c>
    </row>
    <row r="84" spans="1:7" x14ac:dyDescent="0.25">
      <c r="A84" t="s">
        <v>67</v>
      </c>
      <c r="B84" t="s">
        <v>99</v>
      </c>
      <c r="C84" t="s">
        <v>54</v>
      </c>
      <c r="D84" t="s">
        <v>99</v>
      </c>
      <c r="E84" t="s">
        <v>28</v>
      </c>
      <c r="F84" t="s">
        <v>94</v>
      </c>
      <c r="G84" t="s">
        <v>183</v>
      </c>
    </row>
    <row r="85" spans="1:7" x14ac:dyDescent="0.25">
      <c r="A85" t="s">
        <v>67</v>
      </c>
      <c r="B85" t="s">
        <v>99</v>
      </c>
      <c r="C85" t="s">
        <v>55</v>
      </c>
      <c r="D85" t="s">
        <v>99</v>
      </c>
      <c r="E85" t="s">
        <v>28</v>
      </c>
      <c r="F85" t="s">
        <v>62</v>
      </c>
      <c r="G85" t="s">
        <v>156</v>
      </c>
    </row>
    <row r="86" spans="1:7" x14ac:dyDescent="0.25">
      <c r="A86" t="s">
        <v>67</v>
      </c>
      <c r="B86" t="s">
        <v>99</v>
      </c>
      <c r="C86" t="s">
        <v>55</v>
      </c>
      <c r="D86" t="s">
        <v>99</v>
      </c>
      <c r="E86" t="s">
        <v>28</v>
      </c>
      <c r="F86" t="s">
        <v>94</v>
      </c>
      <c r="G86" t="s">
        <v>157</v>
      </c>
    </row>
    <row r="87" spans="1:7" x14ac:dyDescent="0.25">
      <c r="A87" t="s">
        <v>67</v>
      </c>
      <c r="B87" t="s">
        <v>99</v>
      </c>
      <c r="C87" t="s">
        <v>55</v>
      </c>
      <c r="D87" t="s">
        <v>99</v>
      </c>
      <c r="E87" t="s">
        <v>28</v>
      </c>
      <c r="F87" t="s">
        <v>94</v>
      </c>
      <c r="G87" t="s">
        <v>158</v>
      </c>
    </row>
    <row r="88" spans="1:7" x14ac:dyDescent="0.25">
      <c r="A88" t="s">
        <v>67</v>
      </c>
      <c r="B88" t="s">
        <v>99</v>
      </c>
      <c r="C88" t="s">
        <v>55</v>
      </c>
      <c r="D88" t="s">
        <v>99</v>
      </c>
      <c r="E88" t="s">
        <v>28</v>
      </c>
      <c r="F88" t="s">
        <v>94</v>
      </c>
      <c r="G88" t="s">
        <v>183</v>
      </c>
    </row>
    <row r="89" spans="1:7" x14ac:dyDescent="0.25">
      <c r="A89" t="s">
        <v>67</v>
      </c>
      <c r="B89" t="s">
        <v>99</v>
      </c>
      <c r="C89" t="s">
        <v>56</v>
      </c>
      <c r="D89" t="s">
        <v>99</v>
      </c>
      <c r="E89" t="s">
        <v>28</v>
      </c>
      <c r="F89" t="s">
        <v>62</v>
      </c>
      <c r="G89" t="s">
        <v>156</v>
      </c>
    </row>
    <row r="90" spans="1:7" x14ac:dyDescent="0.25">
      <c r="A90" t="s">
        <v>67</v>
      </c>
      <c r="B90" t="s">
        <v>99</v>
      </c>
      <c r="C90" t="s">
        <v>56</v>
      </c>
      <c r="D90" t="s">
        <v>99</v>
      </c>
      <c r="E90" t="s">
        <v>28</v>
      </c>
      <c r="F90" t="s">
        <v>94</v>
      </c>
      <c r="G90" t="s">
        <v>157</v>
      </c>
    </row>
    <row r="91" spans="1:7" x14ac:dyDescent="0.25">
      <c r="A91" t="s">
        <v>67</v>
      </c>
      <c r="B91" t="s">
        <v>99</v>
      </c>
      <c r="C91" t="s">
        <v>56</v>
      </c>
      <c r="D91" t="s">
        <v>99</v>
      </c>
      <c r="E91" t="s">
        <v>28</v>
      </c>
      <c r="F91" t="s">
        <v>94</v>
      </c>
      <c r="G91" t="s">
        <v>158</v>
      </c>
    </row>
    <row r="92" spans="1:7" x14ac:dyDescent="0.25">
      <c r="A92" t="s">
        <v>67</v>
      </c>
      <c r="B92" t="s">
        <v>99</v>
      </c>
      <c r="C92" t="s">
        <v>56</v>
      </c>
      <c r="D92" t="s">
        <v>99</v>
      </c>
      <c r="E92" t="s">
        <v>28</v>
      </c>
      <c r="F92" t="s">
        <v>94</v>
      </c>
      <c r="G92" t="s">
        <v>183</v>
      </c>
    </row>
    <row r="94" spans="1:7" x14ac:dyDescent="0.25">
      <c r="A94" t="s">
        <v>67</v>
      </c>
      <c r="B94" t="s">
        <v>99</v>
      </c>
      <c r="C94" t="s">
        <v>49</v>
      </c>
      <c r="D94" t="s">
        <v>99</v>
      </c>
      <c r="E94" t="s">
        <v>110</v>
      </c>
      <c r="F94" t="s">
        <v>94</v>
      </c>
      <c r="G94" t="s">
        <v>195</v>
      </c>
    </row>
    <row r="95" spans="1:7" x14ac:dyDescent="0.25">
      <c r="A95" t="s">
        <v>67</v>
      </c>
      <c r="B95" t="s">
        <v>99</v>
      </c>
      <c r="C95" t="s">
        <v>49</v>
      </c>
      <c r="D95" t="s">
        <v>99</v>
      </c>
      <c r="E95" t="s">
        <v>110</v>
      </c>
      <c r="F95" t="s">
        <v>94</v>
      </c>
      <c r="G95" t="s">
        <v>196</v>
      </c>
    </row>
    <row r="96" spans="1:7" x14ac:dyDescent="0.25">
      <c r="A96" t="s">
        <v>67</v>
      </c>
      <c r="B96" t="s">
        <v>99</v>
      </c>
      <c r="C96" t="s">
        <v>49</v>
      </c>
      <c r="D96" t="s">
        <v>99</v>
      </c>
      <c r="E96" t="s">
        <v>110</v>
      </c>
      <c r="F96" t="s">
        <v>94</v>
      </c>
      <c r="G96" t="s">
        <v>197</v>
      </c>
    </row>
    <row r="97" spans="1:7" x14ac:dyDescent="0.25">
      <c r="A97" t="s">
        <v>67</v>
      </c>
      <c r="B97" t="s">
        <v>99</v>
      </c>
      <c r="C97" t="s">
        <v>50</v>
      </c>
      <c r="D97" t="s">
        <v>99</v>
      </c>
      <c r="E97" t="s">
        <v>111</v>
      </c>
      <c r="F97" t="s">
        <v>94</v>
      </c>
      <c r="G97" t="s">
        <v>195</v>
      </c>
    </row>
    <row r="98" spans="1:7" x14ac:dyDescent="0.25">
      <c r="A98" t="s">
        <v>67</v>
      </c>
      <c r="B98" t="s">
        <v>99</v>
      </c>
      <c r="C98" t="s">
        <v>50</v>
      </c>
      <c r="D98" t="s">
        <v>99</v>
      </c>
      <c r="E98" t="s">
        <v>111</v>
      </c>
      <c r="F98" t="s">
        <v>94</v>
      </c>
      <c r="G98" t="s">
        <v>196</v>
      </c>
    </row>
    <row r="99" spans="1:7" x14ac:dyDescent="0.25">
      <c r="A99" t="s">
        <v>67</v>
      </c>
      <c r="B99" t="s">
        <v>99</v>
      </c>
      <c r="C99" t="s">
        <v>50</v>
      </c>
      <c r="D99" t="s">
        <v>99</v>
      </c>
      <c r="E99" t="s">
        <v>111</v>
      </c>
      <c r="F99" t="s">
        <v>94</v>
      </c>
      <c r="G99" t="s">
        <v>197</v>
      </c>
    </row>
    <row r="100" spans="1:7" x14ac:dyDescent="0.25">
      <c r="A100" t="s">
        <v>67</v>
      </c>
      <c r="B100" t="s">
        <v>99</v>
      </c>
      <c r="C100" t="s">
        <v>51</v>
      </c>
      <c r="D100" t="s">
        <v>99</v>
      </c>
      <c r="E100" t="s">
        <v>112</v>
      </c>
      <c r="F100" t="s">
        <v>94</v>
      </c>
      <c r="G100" t="s">
        <v>195</v>
      </c>
    </row>
    <row r="101" spans="1:7" x14ac:dyDescent="0.25">
      <c r="A101" t="s">
        <v>67</v>
      </c>
      <c r="B101" t="s">
        <v>99</v>
      </c>
      <c r="C101" t="s">
        <v>51</v>
      </c>
      <c r="D101" t="s">
        <v>99</v>
      </c>
      <c r="E101" t="s">
        <v>112</v>
      </c>
      <c r="F101" t="s">
        <v>94</v>
      </c>
      <c r="G101" t="s">
        <v>196</v>
      </c>
    </row>
    <row r="102" spans="1:7" x14ac:dyDescent="0.25">
      <c r="A102" t="s">
        <v>67</v>
      </c>
      <c r="B102" t="s">
        <v>99</v>
      </c>
      <c r="C102" t="s">
        <v>51</v>
      </c>
      <c r="D102" t="s">
        <v>99</v>
      </c>
      <c r="E102" t="s">
        <v>112</v>
      </c>
      <c r="F102" t="s">
        <v>94</v>
      </c>
      <c r="G102" t="s">
        <v>197</v>
      </c>
    </row>
    <row r="103" spans="1:7" x14ac:dyDescent="0.25">
      <c r="A103" t="s">
        <v>67</v>
      </c>
      <c r="B103" t="s">
        <v>99</v>
      </c>
      <c r="C103" t="s">
        <v>52</v>
      </c>
      <c r="D103" t="s">
        <v>99</v>
      </c>
      <c r="E103" t="s">
        <v>113</v>
      </c>
      <c r="F103" t="s">
        <v>94</v>
      </c>
      <c r="G103" t="s">
        <v>195</v>
      </c>
    </row>
    <row r="104" spans="1:7" x14ac:dyDescent="0.25">
      <c r="A104" t="s">
        <v>67</v>
      </c>
      <c r="B104" t="s">
        <v>99</v>
      </c>
      <c r="C104" t="s">
        <v>52</v>
      </c>
      <c r="D104" t="s">
        <v>99</v>
      </c>
      <c r="E104" t="s">
        <v>113</v>
      </c>
      <c r="F104" t="s">
        <v>94</v>
      </c>
      <c r="G104" t="s">
        <v>196</v>
      </c>
    </row>
    <row r="105" spans="1:7" x14ac:dyDescent="0.25">
      <c r="A105" t="s">
        <v>67</v>
      </c>
      <c r="B105" t="s">
        <v>99</v>
      </c>
      <c r="C105" t="s">
        <v>52</v>
      </c>
      <c r="D105" t="s">
        <v>99</v>
      </c>
      <c r="E105" t="s">
        <v>113</v>
      </c>
      <c r="F105" t="s">
        <v>94</v>
      </c>
      <c r="G105" t="s">
        <v>197</v>
      </c>
    </row>
    <row r="106" spans="1:7" x14ac:dyDescent="0.25">
      <c r="A106" t="s">
        <v>67</v>
      </c>
      <c r="B106" t="s">
        <v>99</v>
      </c>
      <c r="C106" t="s">
        <v>53</v>
      </c>
      <c r="D106" t="s">
        <v>99</v>
      </c>
      <c r="E106" t="s">
        <v>114</v>
      </c>
      <c r="F106" t="s">
        <v>94</v>
      </c>
      <c r="G106" t="s">
        <v>195</v>
      </c>
    </row>
    <row r="107" spans="1:7" x14ac:dyDescent="0.25">
      <c r="A107" t="s">
        <v>67</v>
      </c>
      <c r="B107" t="s">
        <v>99</v>
      </c>
      <c r="C107" t="s">
        <v>53</v>
      </c>
      <c r="D107" t="s">
        <v>99</v>
      </c>
      <c r="E107" t="s">
        <v>114</v>
      </c>
      <c r="F107" t="s">
        <v>94</v>
      </c>
      <c r="G107" t="s">
        <v>196</v>
      </c>
    </row>
    <row r="108" spans="1:7" x14ac:dyDescent="0.25">
      <c r="A108" t="s">
        <v>67</v>
      </c>
      <c r="B108" t="s">
        <v>99</v>
      </c>
      <c r="C108" t="s">
        <v>53</v>
      </c>
      <c r="D108" t="s">
        <v>99</v>
      </c>
      <c r="E108" t="s">
        <v>114</v>
      </c>
      <c r="F108" t="s">
        <v>94</v>
      </c>
      <c r="G108" t="s">
        <v>197</v>
      </c>
    </row>
    <row r="109" spans="1:7" x14ac:dyDescent="0.25">
      <c r="A109" t="s">
        <v>67</v>
      </c>
      <c r="B109" t="s">
        <v>99</v>
      </c>
      <c r="C109" t="s">
        <v>54</v>
      </c>
      <c r="D109" t="s">
        <v>99</v>
      </c>
      <c r="E109" t="s">
        <v>115</v>
      </c>
      <c r="F109" t="s">
        <v>94</v>
      </c>
      <c r="G109" t="s">
        <v>195</v>
      </c>
    </row>
    <row r="110" spans="1:7" x14ac:dyDescent="0.25">
      <c r="A110" t="s">
        <v>67</v>
      </c>
      <c r="B110" t="s">
        <v>99</v>
      </c>
      <c r="C110" t="s">
        <v>54</v>
      </c>
      <c r="D110" t="s">
        <v>99</v>
      </c>
      <c r="E110" t="s">
        <v>115</v>
      </c>
      <c r="F110" t="s">
        <v>94</v>
      </c>
      <c r="G110" t="s">
        <v>196</v>
      </c>
    </row>
    <row r="111" spans="1:7" x14ac:dyDescent="0.25">
      <c r="A111" t="s">
        <v>67</v>
      </c>
      <c r="B111" t="s">
        <v>99</v>
      </c>
      <c r="C111" t="s">
        <v>54</v>
      </c>
      <c r="D111" t="s">
        <v>99</v>
      </c>
      <c r="E111" t="s">
        <v>115</v>
      </c>
      <c r="F111" t="s">
        <v>94</v>
      </c>
      <c r="G111" t="s">
        <v>197</v>
      </c>
    </row>
    <row r="112" spans="1:7" x14ac:dyDescent="0.25">
      <c r="A112" t="s">
        <v>67</v>
      </c>
      <c r="B112" t="s">
        <v>99</v>
      </c>
      <c r="C112" t="s">
        <v>55</v>
      </c>
      <c r="D112" t="s">
        <v>99</v>
      </c>
      <c r="E112" t="s">
        <v>116</v>
      </c>
      <c r="F112" t="s">
        <v>94</v>
      </c>
      <c r="G112" t="s">
        <v>195</v>
      </c>
    </row>
    <row r="113" spans="1:7" x14ac:dyDescent="0.25">
      <c r="A113" t="s">
        <v>67</v>
      </c>
      <c r="B113" t="s">
        <v>99</v>
      </c>
      <c r="C113" t="s">
        <v>55</v>
      </c>
      <c r="D113" t="s">
        <v>99</v>
      </c>
      <c r="E113" t="s">
        <v>116</v>
      </c>
      <c r="F113" t="s">
        <v>94</v>
      </c>
      <c r="G113" t="s">
        <v>196</v>
      </c>
    </row>
    <row r="114" spans="1:7" x14ac:dyDescent="0.25">
      <c r="A114" t="s">
        <v>67</v>
      </c>
      <c r="B114" t="s">
        <v>99</v>
      </c>
      <c r="C114" t="s">
        <v>55</v>
      </c>
      <c r="D114" t="s">
        <v>99</v>
      </c>
      <c r="E114" t="s">
        <v>116</v>
      </c>
      <c r="F114" t="s">
        <v>94</v>
      </c>
      <c r="G114" t="s">
        <v>197</v>
      </c>
    </row>
    <row r="115" spans="1:7" x14ac:dyDescent="0.25">
      <c r="A115" t="s">
        <v>67</v>
      </c>
      <c r="B115" t="s">
        <v>99</v>
      </c>
      <c r="C115" t="s">
        <v>56</v>
      </c>
      <c r="D115" t="s">
        <v>99</v>
      </c>
      <c r="E115" t="s">
        <v>117</v>
      </c>
      <c r="F115" t="s">
        <v>94</v>
      </c>
      <c r="G115" t="s">
        <v>195</v>
      </c>
    </row>
    <row r="116" spans="1:7" x14ac:dyDescent="0.25">
      <c r="A116" t="s">
        <v>67</v>
      </c>
      <c r="B116" t="s">
        <v>99</v>
      </c>
      <c r="C116" t="s">
        <v>56</v>
      </c>
      <c r="D116" t="s">
        <v>99</v>
      </c>
      <c r="E116" t="s">
        <v>117</v>
      </c>
      <c r="F116" t="s">
        <v>94</v>
      </c>
      <c r="G116" t="s">
        <v>196</v>
      </c>
    </row>
    <row r="117" spans="1:7" x14ac:dyDescent="0.25">
      <c r="A117" t="s">
        <v>67</v>
      </c>
      <c r="B117" t="s">
        <v>99</v>
      </c>
      <c r="C117" t="s">
        <v>56</v>
      </c>
      <c r="D117" t="s">
        <v>99</v>
      </c>
      <c r="E117" t="s">
        <v>117</v>
      </c>
      <c r="F117" t="s">
        <v>94</v>
      </c>
      <c r="G117" t="s">
        <v>197</v>
      </c>
    </row>
    <row r="119" spans="1:7" x14ac:dyDescent="0.25">
      <c r="A119" t="s">
        <v>67</v>
      </c>
      <c r="B119" t="s">
        <v>99</v>
      </c>
      <c r="C119" t="s">
        <v>110</v>
      </c>
      <c r="D119" t="s">
        <v>99</v>
      </c>
      <c r="E119" t="s">
        <v>108</v>
      </c>
      <c r="F119" t="s">
        <v>94</v>
      </c>
      <c r="G119" t="s">
        <v>182</v>
      </c>
    </row>
    <row r="120" spans="1:7" x14ac:dyDescent="0.25">
      <c r="A120" t="s">
        <v>67</v>
      </c>
      <c r="B120" t="s">
        <v>99</v>
      </c>
      <c r="C120" t="s">
        <v>111</v>
      </c>
      <c r="D120" t="s">
        <v>99</v>
      </c>
      <c r="E120" t="s">
        <v>108</v>
      </c>
      <c r="F120" t="s">
        <v>94</v>
      </c>
      <c r="G120" t="s">
        <v>182</v>
      </c>
    </row>
    <row r="121" spans="1:7" x14ac:dyDescent="0.25">
      <c r="A121" t="s">
        <v>67</v>
      </c>
      <c r="B121" t="s">
        <v>99</v>
      </c>
      <c r="C121" t="s">
        <v>112</v>
      </c>
      <c r="D121" t="s">
        <v>99</v>
      </c>
      <c r="E121" t="s">
        <v>108</v>
      </c>
      <c r="F121" t="s">
        <v>94</v>
      </c>
      <c r="G121" t="s">
        <v>182</v>
      </c>
    </row>
    <row r="122" spans="1:7" x14ac:dyDescent="0.25">
      <c r="A122" t="s">
        <v>67</v>
      </c>
      <c r="B122" t="s">
        <v>99</v>
      </c>
      <c r="C122" t="s">
        <v>113</v>
      </c>
      <c r="D122" t="s">
        <v>99</v>
      </c>
      <c r="E122" t="s">
        <v>108</v>
      </c>
      <c r="F122" t="s">
        <v>94</v>
      </c>
      <c r="G122" t="s">
        <v>182</v>
      </c>
    </row>
    <row r="123" spans="1:7" x14ac:dyDescent="0.25">
      <c r="A123" t="s">
        <v>67</v>
      </c>
      <c r="B123" t="s">
        <v>99</v>
      </c>
      <c r="C123" t="s">
        <v>114</v>
      </c>
      <c r="D123" t="s">
        <v>99</v>
      </c>
      <c r="E123" t="s">
        <v>108</v>
      </c>
      <c r="F123" t="s">
        <v>94</v>
      </c>
      <c r="G123" t="s">
        <v>182</v>
      </c>
    </row>
    <row r="124" spans="1:7" x14ac:dyDescent="0.25">
      <c r="A124" t="s">
        <v>67</v>
      </c>
      <c r="B124" t="s">
        <v>99</v>
      </c>
      <c r="C124" t="s">
        <v>115</v>
      </c>
      <c r="D124" t="s">
        <v>99</v>
      </c>
      <c r="E124" t="s">
        <v>108</v>
      </c>
      <c r="F124" t="s">
        <v>94</v>
      </c>
      <c r="G124" t="s">
        <v>182</v>
      </c>
    </row>
    <row r="125" spans="1:7" x14ac:dyDescent="0.25">
      <c r="A125" t="s">
        <v>67</v>
      </c>
      <c r="B125" t="s">
        <v>99</v>
      </c>
      <c r="C125" t="s">
        <v>116</v>
      </c>
      <c r="D125" t="s">
        <v>99</v>
      </c>
      <c r="E125" t="s">
        <v>108</v>
      </c>
      <c r="F125" t="s">
        <v>94</v>
      </c>
      <c r="G125" t="s">
        <v>182</v>
      </c>
    </row>
    <row r="126" spans="1:7" x14ac:dyDescent="0.25">
      <c r="A126" t="s">
        <v>67</v>
      </c>
      <c r="B126" t="s">
        <v>99</v>
      </c>
      <c r="C126" t="s">
        <v>117</v>
      </c>
      <c r="D126" t="s">
        <v>99</v>
      </c>
      <c r="E126" t="s">
        <v>108</v>
      </c>
      <c r="F126" t="s">
        <v>94</v>
      </c>
      <c r="G126" t="s">
        <v>182</v>
      </c>
    </row>
    <row r="128" spans="1:7" x14ac:dyDescent="0.25">
      <c r="A128" t="s">
        <v>67</v>
      </c>
      <c r="B128" t="s">
        <v>99</v>
      </c>
      <c r="C128" t="s">
        <v>28</v>
      </c>
      <c r="D128" t="s">
        <v>99</v>
      </c>
      <c r="E128" t="s">
        <v>109</v>
      </c>
      <c r="F128" t="s">
        <v>94</v>
      </c>
      <c r="G128" t="s">
        <v>181</v>
      </c>
    </row>
    <row r="129" spans="1:7" x14ac:dyDescent="0.25">
      <c r="A129" t="s">
        <v>67</v>
      </c>
      <c r="B129" t="s">
        <v>99</v>
      </c>
      <c r="C129" t="s">
        <v>28</v>
      </c>
      <c r="D129" t="s">
        <v>99</v>
      </c>
      <c r="E129" t="s">
        <v>109</v>
      </c>
      <c r="F129" t="s">
        <v>94</v>
      </c>
      <c r="G129" t="s">
        <v>218</v>
      </c>
    </row>
    <row r="130" spans="1:7" x14ac:dyDescent="0.25">
      <c r="A130" t="s">
        <v>67</v>
      </c>
      <c r="B130" t="s">
        <v>99</v>
      </c>
      <c r="C130" t="s">
        <v>27</v>
      </c>
      <c r="D130" t="s">
        <v>99</v>
      </c>
      <c r="E130" t="s">
        <v>109</v>
      </c>
      <c r="F130" t="s">
        <v>94</v>
      </c>
      <c r="G130" t="s">
        <v>181</v>
      </c>
    </row>
  </sheetData>
  <phoneticPr fontId="3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9"/>
  <sheetViews>
    <sheetView workbookViewId="0">
      <selection activeCell="E26" sqref="E26"/>
    </sheetView>
  </sheetViews>
  <sheetFormatPr defaultColWidth="8.85546875" defaultRowHeight="15" x14ac:dyDescent="0.25"/>
  <cols>
    <col min="1" max="2" width="19.42578125" bestFit="1" customWidth="1"/>
  </cols>
  <sheetData>
    <row r="1" spans="1:2" x14ac:dyDescent="0.25">
      <c r="A1" s="1" t="s">
        <v>22</v>
      </c>
      <c r="B1" s="1" t="s">
        <v>23</v>
      </c>
    </row>
    <row r="2" spans="1:2" x14ac:dyDescent="0.25">
      <c r="A2" t="s">
        <v>24</v>
      </c>
      <c r="B2" t="s">
        <v>24</v>
      </c>
    </row>
    <row r="3" spans="1:2" x14ac:dyDescent="0.25">
      <c r="A3" t="s">
        <v>118</v>
      </c>
      <c r="B3" t="s">
        <v>118</v>
      </c>
    </row>
    <row r="4" spans="1:2" x14ac:dyDescent="0.25">
      <c r="A4" t="s">
        <v>159</v>
      </c>
      <c r="B4" t="s">
        <v>159</v>
      </c>
    </row>
    <row r="5" spans="1:2" x14ac:dyDescent="0.25">
      <c r="A5" t="s">
        <v>95</v>
      </c>
      <c r="B5" t="s">
        <v>95</v>
      </c>
    </row>
    <row r="6" spans="1:2" x14ac:dyDescent="0.25">
      <c r="A6" t="s">
        <v>19</v>
      </c>
      <c r="B6" t="s">
        <v>19</v>
      </c>
    </row>
    <row r="7" spans="1:2" x14ac:dyDescent="0.25">
      <c r="A7" t="s">
        <v>26</v>
      </c>
      <c r="B7" t="s">
        <v>26</v>
      </c>
    </row>
    <row r="8" spans="1:2" x14ac:dyDescent="0.25">
      <c r="A8" t="s">
        <v>25</v>
      </c>
      <c r="B8" t="s">
        <v>25</v>
      </c>
    </row>
    <row r="9" spans="1:2" x14ac:dyDescent="0.25">
      <c r="A9" t="s">
        <v>41</v>
      </c>
      <c r="B9" t="s">
        <v>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VRUs</vt:lpstr>
      <vt:lpstr>Flares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2025-04-13T18:57:52Z</dcterms:modified>
</cp:coreProperties>
</file>