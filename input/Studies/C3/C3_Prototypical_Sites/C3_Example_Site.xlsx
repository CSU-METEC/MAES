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lobal Simulation Parameters" sheetId="1" state="visible" r:id="rId2"/>
    <sheet name="Facilities" sheetId="2" state="visible" r:id="rId3"/>
    <sheet name="Cycling Wells" sheetId="3" state="visible" r:id="rId4"/>
    <sheet name="Continuous Separators" sheetId="4" state="visible" r:id="rId5"/>
    <sheet name="Other" sheetId="5" state="visible" r:id="rId6"/>
    <sheet name="Tank Battery" sheetId="6" state="visible" r:id="rId7"/>
    <sheet name="VRUs" sheetId="7" state="visible" r:id="rId8"/>
    <sheet name="Flares" sheetId="8" state="visible" r:id="rId9"/>
    <sheet name="FFLinks" sheetId="9" state="visible" r:id="rId10"/>
    <sheet name="Links" sheetId="10" state="visible" r:id="rId11"/>
    <sheet name="Debug" sheetId="11" state="visible" r:id="rId12"/>
    <sheet name="Master Equipment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<sst xmlns="http://schemas.openxmlformats.org/spreadsheetml/2006/main" count="1054" uniqueCount="214">
  <si>
    <t xml:space="preserve">Simulation Start Date</t>
  </si>
  <si>
    <t xml:space="preserve">1/1/2021</t>
  </si>
  <si>
    <t xml:space="preserve">Simulation Duration [Days]</t>
  </si>
  <si>
    <t xml:space="preserve">Number of Monte Carlo Iterations</t>
  </si>
  <si>
    <t xml:space="preserve">Output Directory Template DZ</t>
  </si>
  <si>
    <t xml:space="preserve">output/C3_Example_Site/MC_Last</t>
  </si>
  <si>
    <t xml:space="preserve">Flash Composition Name</t>
  </si>
  <si>
    <t xml:space="preserve">input/Studies/C3/C3_Prototypical_Sites/CompositionsC3_2stages.csv</t>
  </si>
  <si>
    <t xml:space="preserve">Activity / Emission Factor Name</t>
  </si>
  <si>
    <t xml:space="preserve">input/Studies/C3/C3_Prototypical_Sites/Factors.csv</t>
  </si>
  <si>
    <t xml:space="preserve">Facility ID</t>
  </si>
  <si>
    <t xml:space="preserve">Latitude</t>
  </si>
  <si>
    <t xml:space="preserve">Longitude</t>
  </si>
  <si>
    <t xml:space="preserve">Leak Gas Composition</t>
  </si>
  <si>
    <t xml:space="preserve">Model ID</t>
  </si>
  <si>
    <t xml:space="preserve">123-9E26</t>
  </si>
  <si>
    <t xml:space="preserve">Facility.json</t>
  </si>
  <si>
    <t xml:space="preserve">Unit ID</t>
  </si>
  <si>
    <t xml:space="preserve">Component Leak Survey Frequency [days]</t>
  </si>
  <si>
    <t xml:space="preserve">Component Count</t>
  </si>
  <si>
    <t xml:space="preserve">Component pLeak</t>
  </si>
  <si>
    <t xml:space="preserve">Oil Production [bbl/day]</t>
  </si>
  <si>
    <t xml:space="preserve">Water Production [bbl/day]</t>
  </si>
  <si>
    <t xml:space="preserve">Total Liquids Produced [bbl/dump]</t>
  </si>
  <si>
    <t xml:space="preserve">Mean Production Time [s]</t>
  </si>
  <si>
    <t xml:space="preserve">Production Time Variation [s]</t>
  </si>
  <si>
    <t xml:space="preserve">Shut In Time Variation [percent]</t>
  </si>
  <si>
    <t xml:space="preserve">Actuator Type [Gas, Electric, Air]</t>
  </si>
  <si>
    <t xml:space="preserve">Flow Tag</t>
  </si>
  <si>
    <t xml:space="preserve">Leak GC Name</t>
  </si>
  <si>
    <t xml:space="preserve">Flow Gas Composition</t>
  </si>
  <si>
    <t xml:space="preserve">Factor Tag</t>
  </si>
  <si>
    <t xml:space="preserve">CycledWell.json</t>
  </si>
  <si>
    <t xml:space="preserve">123_37331</t>
  </si>
  <si>
    <t xml:space="preserve">Gas </t>
  </si>
  <si>
    <t xml:space="preserve">Well</t>
  </si>
  <si>
    <t xml:space="preserve">Default-LeakGc</t>
  </si>
  <si>
    <t xml:space="preserve">wellpad</t>
  </si>
  <si>
    <t xml:space="preserve">123_37332</t>
  </si>
  <si>
    <t xml:space="preserve">123_37336</t>
  </si>
  <si>
    <t xml:space="preserve">123_37360</t>
  </si>
  <si>
    <t xml:space="preserve">123_37362</t>
  </si>
  <si>
    <t xml:space="preserve">123_37329</t>
  </si>
  <si>
    <t xml:space="preserve">123_37352</t>
  </si>
  <si>
    <t xml:space="preserve">Stuck Dump Valve Component Count</t>
  </si>
  <si>
    <t xml:space="preserve">Stuck Dump Valve pLeak</t>
  </si>
  <si>
    <t xml:space="preserve">Stuck Dump Valve Failure Duration Min [days]</t>
  </si>
  <si>
    <t xml:space="preserve">Stuck Dump Valve Failure Duration Max [days]</t>
  </si>
  <si>
    <t xml:space="preserve">Fraction of Flash Released</t>
  </si>
  <si>
    <t xml:space="preserve">Primary Water Takeoff Ratio</t>
  </si>
  <si>
    <t xml:space="preserve">Flow GC Tag</t>
  </si>
  <si>
    <t xml:space="preserve">sep_stage1_1</t>
  </si>
  <si>
    <t xml:space="preserve">Gas</t>
  </si>
  <si>
    <t xml:space="preserve">FlashFractions/FlashFractionsTest.csv</t>
  </si>
  <si>
    <t xml:space="preserve">Stage1</t>
  </si>
  <si>
    <t xml:space="preserve">ContinuousSeparator.json</t>
  </si>
  <si>
    <t xml:space="preserve">wellpad_sep</t>
  </si>
  <si>
    <t xml:space="preserve">sep_stage1_2</t>
  </si>
  <si>
    <t xml:space="preserve">sep_stage1_3</t>
  </si>
  <si>
    <t xml:space="preserve">sep_stage1_4</t>
  </si>
  <si>
    <t xml:space="preserve">sep_stage1_5</t>
  </si>
  <si>
    <t xml:space="preserve">sep_stage1_6</t>
  </si>
  <si>
    <t xml:space="preserve">sep_stage1_7</t>
  </si>
  <si>
    <t xml:space="preserve">sep_stage2_1</t>
  </si>
  <si>
    <t xml:space="preserve">Stage2</t>
  </si>
  <si>
    <t xml:space="preserve">sep_stage2_2</t>
  </si>
  <si>
    <t xml:space="preserve">sep_stage2_3</t>
  </si>
  <si>
    <t xml:space="preserve">sep_stage2_4</t>
  </si>
  <si>
    <t xml:space="preserve">sep_stage2_5</t>
  </si>
  <si>
    <t xml:space="preserve">sep_stage2_6</t>
  </si>
  <si>
    <t xml:space="preserve">sep_stage2_7</t>
  </si>
  <si>
    <t xml:space="preserve">Facility Common Vent [TRUE/FALSE]</t>
  </si>
  <si>
    <t xml:space="preserve">Common Facility Vent Component Count</t>
  </si>
  <si>
    <t xml:space="preserve">Common Facility Vent MTTR Min [days]</t>
  </si>
  <si>
    <t xml:space="preserve">Common Facility Vent MTTR Max [days]</t>
  </si>
  <si>
    <t xml:space="preserve">Common Facility Vent pLeak</t>
  </si>
  <si>
    <t xml:space="preserve">Facility Components Large Emitter [TRUE/FALSE]</t>
  </si>
  <si>
    <t xml:space="preserve">Facility Components (Large Emitter) MTTR Min [days]</t>
  </si>
  <si>
    <t xml:space="preserve">Facility Components (Large Emitter) MTTR Max [days]</t>
  </si>
  <si>
    <t xml:space="preserve">Facility Components (Large Emitter) pLeak</t>
  </si>
  <si>
    <t xml:space="preserve">Facility Vent (Large Emitter) MTTR Min [days]</t>
  </si>
  <si>
    <t xml:space="preserve">Facility Vent (Large Emitter) MTTR Max [days]</t>
  </si>
  <si>
    <t xml:space="preserve">Facility Vent (Large Emitter) pLeak</t>
  </si>
  <si>
    <t xml:space="preserve">misc_equipment</t>
  </si>
  <si>
    <t xml:space="preserve">MiscWellpad.json</t>
  </si>
  <si>
    <t xml:space="preserve">wellpad_misc</t>
  </si>
  <si>
    <t xml:space="preserve">Battery Type [Condensate Tank, Water Tank]</t>
  </si>
  <si>
    <t xml:space="preserve">Fluid [Water, Condensate]</t>
  </si>
  <si>
    <t xml:space="preserve">Number of Thief Hatches</t>
  </si>
  <si>
    <t xml:space="preserve">Number of Vents</t>
  </si>
  <si>
    <t xml:space="preserve">Tank Thief Hatch MTTR min [days]</t>
  </si>
  <si>
    <t xml:space="preserve">Tank Thief Hatch MTTR max [days]</t>
  </si>
  <si>
    <t xml:space="preserve">Tank Thief Hatch pLeak</t>
  </si>
  <si>
    <t xml:space="preserve">Tank Battery Vent MTTR min [days]</t>
  </si>
  <si>
    <t xml:space="preserve">Tank Battery Vent MTTR max [days]</t>
  </si>
  <si>
    <t xml:space="preserve">Tank Battery Vent pLeak</t>
  </si>
  <si>
    <t xml:space="preserve">Overpressure Vents Large Emitter MTTR min [days]</t>
  </si>
  <si>
    <t xml:space="preserve">Overpressure Vents Large Emitter MTTR max [days]</t>
  </si>
  <si>
    <t xml:space="preserve">Overpressure Vents Large Emitter pLeak</t>
  </si>
  <si>
    <t xml:space="preserve">Overpressure Vents Large Emitter Threshold [scfh]</t>
  </si>
  <si>
    <t xml:space="preserve">Inlet Flow At Max Primary Flow [scfh]</t>
  </si>
  <si>
    <t xml:space="preserve">Max Primary Outlet Flow [scfh]</t>
  </si>
  <si>
    <t xml:space="preserve">TankBattery.json</t>
  </si>
  <si>
    <t xml:space="preserve">tank_battery_WATER</t>
  </si>
  <si>
    <t xml:space="preserve">Water Tank</t>
  </si>
  <si>
    <t xml:space="preserve">Water</t>
  </si>
  <si>
    <t xml:space="preserve">wellpad_tanks</t>
  </si>
  <si>
    <t xml:space="preserve">tank_battery_OIL</t>
  </si>
  <si>
    <t xml:space="preserve">Condensate Tank</t>
  </si>
  <si>
    <t xml:space="preserve">Condensate</t>
  </si>
  <si>
    <t xml:space="preserve">Seal Type [Dry, Wet, Rod Packing]</t>
  </si>
  <si>
    <t xml:space="preserve">Compressor Power [HP]</t>
  </si>
  <si>
    <t xml:space="preserve">Driver Type [Turbine, 4SLB, 2SLB, 4SRB, Electric]</t>
  </si>
  <si>
    <t xml:space="preserve">Engine Efficiency</t>
  </si>
  <si>
    <t xml:space="preserve">Exhaust Factors</t>
  </si>
  <si>
    <t xml:space="preserve">Compressor Type [Centrifugal, Reciprocating, Other]</t>
  </si>
  <si>
    <t xml:space="preserve">Average Loading</t>
  </si>
  <si>
    <t xml:space="preserve">Std Loading</t>
  </si>
  <si>
    <t xml:space="preserve">Operating Fraction</t>
  </si>
  <si>
    <t xml:space="preserve">NOP Fraction of NOP/NOD</t>
  </si>
  <si>
    <t xml:space="preserve">Total Duration Lower Limit [hours]</t>
  </si>
  <si>
    <t xml:space="preserve">Total Duration Upper Limit [hours]</t>
  </si>
  <si>
    <t xml:space="preserve">Starter Type [Gas, Electric, Air]</t>
  </si>
  <si>
    <t xml:space="preserve">Starter Event Emission Duration [s]</t>
  </si>
  <si>
    <t xml:space="preserve">Starter Event Emission Volume [SCF]</t>
  </si>
  <si>
    <t xml:space="preserve">Blowdown Event Duration [s]</t>
  </si>
  <si>
    <t xml:space="preserve">Blowdown Event Emission Volume [SCF]</t>
  </si>
  <si>
    <t xml:space="preserve">Blowdown Vent Component Count</t>
  </si>
  <si>
    <t xml:space="preserve">Blowdown Vent MTTRMin [days]</t>
  </si>
  <si>
    <t xml:space="preserve">Blowdown Vent MTTRMax [days]</t>
  </si>
  <si>
    <t xml:space="preserve">Blowdown Vent pLeak</t>
  </si>
  <si>
    <t xml:space="preserve">Single Unit Vents</t>
  </si>
  <si>
    <t xml:space="preserve">Common Single-Unit Vent Component Count</t>
  </si>
  <si>
    <t xml:space="preserve">Common Single-Unit Vent MTTR Min [days]</t>
  </si>
  <si>
    <t xml:space="preserve">Common Single-Unit Vent MTTR Max [days]</t>
  </si>
  <si>
    <t xml:space="preserve">Common Single-Unit Vent pLeak</t>
  </si>
  <si>
    <t xml:space="preserve">Seal Vent Component Count</t>
  </si>
  <si>
    <t xml:space="preserve">Seal Vent MTTR Min [days]</t>
  </si>
  <si>
    <t xml:space="preserve">Seal Vent MTTR Max [days]</t>
  </si>
  <si>
    <t xml:space="preserve">Seal Vent pLeak</t>
  </si>
  <si>
    <t xml:space="preserve">Seal Vent(Large Emitter) Component Count</t>
  </si>
  <si>
    <t xml:space="preserve">Seal Vent(Large Emitter) MTTR Min [days]</t>
  </si>
  <si>
    <t xml:space="preserve">Seal Vent(Large Emitter) MTTR Max [days]</t>
  </si>
  <si>
    <t xml:space="preserve">Seal Vent(Large Emitter) pLeak</t>
  </si>
  <si>
    <t xml:space="preserve">Compressor Starter Vent Component Count</t>
  </si>
  <si>
    <t xml:space="preserve">Compressor Starter Vent MTTR Min [days]</t>
  </si>
  <si>
    <t xml:space="preserve">Compressor Starter Vent MTTR Max [days]</t>
  </si>
  <si>
    <t xml:space="preserve">Compressor Starter Vent pLeak</t>
  </si>
  <si>
    <t xml:space="preserve">Common Single-unit Vent(Large Emitter) Component Count</t>
  </si>
  <si>
    <t xml:space="preserve">Common Single-unit Vent(Large Emitter) MTTR Min [days]</t>
  </si>
  <si>
    <t xml:space="preserve">Common Single-unit Vent(Large Emitter) MTTR Max [days]</t>
  </si>
  <si>
    <t xml:space="preserve">Common Single-unit Vent(Large Emitter) pLeak</t>
  </si>
  <si>
    <t xml:space="preserve">Combustion GC Name</t>
  </si>
  <si>
    <t xml:space="preserve">VRU_1</t>
  </si>
  <si>
    <t xml:space="preserve">Rodpacking</t>
  </si>
  <si>
    <t xml:space="preserve">4SRB</t>
  </si>
  <si>
    <t xml:space="preserve">DestEff</t>
  </si>
  <si>
    <t xml:space="preserve">Recip</t>
  </si>
  <si>
    <t xml:space="preserve">Electric</t>
  </si>
  <si>
    <t xml:space="preserve">Compressor.json</t>
  </si>
  <si>
    <t xml:space="preserve">wellpad_compressor_0to200HP</t>
  </si>
  <si>
    <t xml:space="preserve">VRU_2</t>
  </si>
  <si>
    <t xml:space="preserve">VRU_3</t>
  </si>
  <si>
    <t xml:space="preserve">VRU_4</t>
  </si>
  <si>
    <t xml:space="preserve">pMalfunction</t>
  </si>
  <si>
    <t xml:space="preserve">Malfunction Duration min [days]</t>
  </si>
  <si>
    <t xml:space="preserve">Malfunction Duration max [days]</t>
  </si>
  <si>
    <t xml:space="preserve">Malfunction Destruction Efficiency</t>
  </si>
  <si>
    <t xml:space="preserve">pUnlit</t>
  </si>
  <si>
    <t xml:space="preserve">Unlit Duration min [days]</t>
  </si>
  <si>
    <t xml:space="preserve">Unlit Duration max [days]</t>
  </si>
  <si>
    <t xml:space="preserve">Unlit Destruction Efficiency</t>
  </si>
  <si>
    <t xml:space="preserve">Operating Duration min [days]</t>
  </si>
  <si>
    <t xml:space="preserve">Operating Duration max [days]</t>
  </si>
  <si>
    <t xml:space="preserve">Operating Destruction Efficiency</t>
  </si>
  <si>
    <t xml:space="preserve">Flare_1</t>
  </si>
  <si>
    <t xml:space="preserve">Flare.json</t>
  </si>
  <si>
    <t xml:space="preserve">wellpad_flare</t>
  </si>
  <si>
    <t xml:space="preserve">Outlet FacilityID</t>
  </si>
  <si>
    <t xml:space="preserve">Outlet UnitID</t>
  </si>
  <si>
    <t xml:space="preserve">Inlet FacilityID</t>
  </si>
  <si>
    <t xml:space="preserve">Inlet UnitID</t>
  </si>
  <si>
    <t xml:space="preserve">Flow Name</t>
  </si>
  <si>
    <t xml:space="preserve">Flow SecondaryID</t>
  </si>
  <si>
    <t xml:space="preserve">FFLink.json</t>
  </si>
  <si>
    <t xml:space="preserve">condensate_flow</t>
  </si>
  <si>
    <t xml:space="preserve">primary_water</t>
  </si>
  <si>
    <t xml:space="preserve">Vapor</t>
  </si>
  <si>
    <t xml:space="preserve">condensate_flash</t>
  </si>
  <si>
    <t xml:space="preserve">water_flash</t>
  </si>
  <si>
    <t xml:space="preserve">stuck_dump_valve_vapor</t>
  </si>
  <si>
    <t xml:space="preserve">flare_flow</t>
  </si>
  <si>
    <t xml:space="preserve">tank_flash</t>
  </si>
  <si>
    <t xml:space="preserve">ME1 Facility</t>
  </si>
  <si>
    <t xml:space="preserve">ME1 Unit</t>
  </si>
  <si>
    <t xml:space="preserve">ME2 Facility</t>
  </si>
  <si>
    <t xml:space="preserve">ME2 Unit</t>
  </si>
  <si>
    <t xml:space="preserve">DumpID</t>
  </si>
  <si>
    <t xml:space="preserve">Dump Time</t>
  </si>
  <si>
    <t xml:space="preserve">FFDumpService.json</t>
  </si>
  <si>
    <t xml:space="preserve">FFDump50</t>
  </si>
  <si>
    <t xml:space="preserve">Readable Name</t>
  </si>
  <si>
    <t xml:space="preserve">Tab</t>
  </si>
  <si>
    <t xml:space="preserve">Facilities</t>
  </si>
  <si>
    <t xml:space="preserve">Cycling Wells</t>
  </si>
  <si>
    <t xml:space="preserve">Continuous Separators</t>
  </si>
  <si>
    <t xml:space="preserve">Other</t>
  </si>
  <si>
    <t xml:space="preserve">Tank Battery</t>
  </si>
  <si>
    <t xml:space="preserve">VRUs</t>
  </si>
  <si>
    <t xml:space="preserve">Flares</t>
  </si>
  <si>
    <t xml:space="preserve">Links</t>
  </si>
  <si>
    <t xml:space="preserve">Fluid Flows</t>
  </si>
  <si>
    <t xml:space="preserve">FFLinks</t>
  </si>
  <si>
    <t xml:space="preserve">Debug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</si>
</sst>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9C5700"/>
      <name val="Calibri"/>
      <family val="2"/>
      <charset val="1"/>
    </font>
    <font>
      <sz val="9"/>
      <color rgb="FF201F1E"/>
      <name val="Segoe U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9BBB59"/>
        <bgColor rgb="FF92D050"/>
      </patternFill>
    </fill>
    <fill>
      <patternFill patternType="solid">
        <fgColor rgb="FFFFEB9C"/>
        <bgColor rgb="FFFCD5B5"/>
      </patternFill>
    </fill>
    <fill>
      <patternFill patternType="solid">
        <fgColor rgb="FF92D050"/>
        <bgColor rgb="FF9BBB59"/>
      </patternFill>
    </fill>
    <fill>
      <patternFill patternType="solid">
        <fgColor rgb="FFCCC1DA"/>
        <bgColor rgb="FFC6D9F1"/>
      </patternFill>
    </fill>
    <fill>
      <patternFill patternType="solid">
        <fgColor rgb="FFC6D9F1"/>
        <bgColor rgb="FFB7DEE8"/>
      </patternFill>
    </fill>
    <fill>
      <patternFill patternType="solid">
        <fgColor rgb="FFD7E4BD"/>
        <bgColor rgb="FFDCE6F2"/>
      </patternFill>
    </fill>
    <fill>
      <patternFill patternType="solid">
        <fgColor rgb="FFB7DEE8"/>
        <bgColor rgb="FFC6D9F1"/>
      </patternFill>
    </fill>
    <fill>
      <patternFill patternType="solid">
        <fgColor rgb="FFFCD5B5"/>
        <bgColor rgb="FFFFEB9C"/>
      </patternFill>
    </fill>
    <fill>
      <patternFill patternType="solid">
        <fgColor rgb="FFB3A2C7"/>
        <bgColor rgb="FF95B3D7"/>
      </patternFill>
    </fill>
    <fill>
      <patternFill patternType="solid">
        <fgColor rgb="FFDCE6F2"/>
        <bgColor rgb="FFE6E0EC"/>
      </patternFill>
    </fill>
    <fill>
      <patternFill patternType="solid">
        <fgColor rgb="FFFDEADA"/>
        <bgColor rgb="FFEBF1DE"/>
      </patternFill>
    </fill>
    <fill>
      <patternFill patternType="solid">
        <fgColor rgb="FF95B3D7"/>
        <bgColor rgb="FFB3A2C7"/>
      </patternFill>
    </fill>
    <fill>
      <patternFill patternType="solid">
        <fgColor rgb="FFEBF1DE"/>
        <bgColor rgb="FFFDEADA"/>
      </patternFill>
    </fill>
    <fill>
      <patternFill patternType="solid">
        <fgColor rgb="FFE6E0EC"/>
        <bgColor rgb="FFDCE6F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8" fillId="3" borderId="0" applyFont="true" applyBorder="false" applyAlignment="true" applyProtection="false">
      <alignment horizontal="general" vertical="bottom" textRotation="0" wrapText="false" indent="0" shrinkToFit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1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  <cellStyle name="Excel Built-in Accent3" xfId="21"/>
    <cellStyle name="Excel Built-in Neutral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5B3D7"/>
      <rgbColor rgb="FF993366"/>
      <rgbColor rgb="FFEBF1DE"/>
      <rgbColor rgb="FFDCE6F2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0EC"/>
      <rgbColor rgb="FFD7E4BD"/>
      <rgbColor rgb="FFFFEB9C"/>
      <rgbColor rgb="FFB7DEE8"/>
      <rgbColor rgb="FFFDEADA"/>
      <rgbColor rgb="FFB3A2C7"/>
      <rgbColor rgb="FFFCD5B5"/>
      <rgbColor rgb="FF3366FF"/>
      <rgbColor rgb="FF33CCCC"/>
      <rgbColor rgb="FF92D050"/>
      <rgbColor rgb="FFFFCC00"/>
      <rgbColor rgb="FFFF9900"/>
      <rgbColor rgb="FFFF6600"/>
      <rgbColor rgb="FF666699"/>
      <rgbColor rgb="FF9BBB59"/>
      <rgbColor rgb="FF003366"/>
      <rgbColor rgb="FF339966"/>
      <rgbColor rgb="FF003300"/>
      <rgbColor rgb="FF333300"/>
      <rgbColor rgb="FF9C5700"/>
      <rgbColor rgb="FF993366"/>
      <rgbColor rgb="FF333399"/>
      <rgbColor rgb="FF201F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1" sqref="R2:R8 B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33.56"/>
    <col collapsed="false" customWidth="true" hidden="false" outlineLevel="0" max="2" min="2" style="1" width="64.44"/>
  </cols>
  <sheetData>
    <row r="1" customFormat="false" ht="14.25" hidden="false" customHeight="false" outlineLevel="0" collapsed="false">
      <c r="A1" s="1" t="s">
        <v>0</v>
      </c>
      <c r="B1" s="1" t="s">
        <v>1</v>
      </c>
    </row>
    <row r="2" customFormat="false" ht="14.25" hidden="false" customHeight="false" outlineLevel="0" collapsed="false">
      <c r="A2" s="1" t="s">
        <v>2</v>
      </c>
      <c r="B2" s="1" t="n">
        <v>365</v>
      </c>
    </row>
    <row r="3" customFormat="false" ht="14.25" hidden="false" customHeight="false" outlineLevel="0" collapsed="false">
      <c r="A3" s="1" t="s">
        <v>3</v>
      </c>
      <c r="B3" s="1" t="n">
        <v>100</v>
      </c>
    </row>
    <row r="4" customFormat="false" ht="14.25" hidden="false" customHeight="false" outlineLevel="0" collapsed="false">
      <c r="A4" s="1" t="s">
        <v>4</v>
      </c>
      <c r="B4" s="1" t="s">
        <v>5</v>
      </c>
    </row>
    <row r="5" customFormat="false" ht="14.25" hidden="false" customHeight="false" outlineLevel="0" collapsed="false">
      <c r="A5" s="1" t="s">
        <v>6</v>
      </c>
      <c r="B5" s="1" t="s">
        <v>7</v>
      </c>
    </row>
    <row r="6" customFormat="false" ht="14.25" hidden="false" customHeight="false" outlineLevel="0" collapsed="false">
      <c r="A6" s="1" t="s">
        <v>8</v>
      </c>
      <c r="B6" s="1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1" sqref="R2:R8 D2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2.89"/>
    <col collapsed="false" customWidth="true" hidden="false" outlineLevel="0" max="2" min="2" style="1" width="10"/>
    <col collapsed="false" customWidth="true" hidden="false" outlineLevel="0" max="3" min="3" style="1" width="10.66"/>
    <col collapsed="false" customWidth="true" hidden="false" outlineLevel="0" max="4" min="4" style="1" width="58.89"/>
    <col collapsed="false" customWidth="true" hidden="false" outlineLevel="0" max="5" min="5" style="1" width="20"/>
  </cols>
  <sheetData>
    <row r="1" s="4" customFormat="true" ht="14.25" hidden="false" customHeight="false" outlineLevel="0" collapsed="false">
      <c r="A1" s="2" t="s">
        <v>10</v>
      </c>
      <c r="B1" s="3" t="s">
        <v>11</v>
      </c>
      <c r="C1" s="2" t="s">
        <v>12</v>
      </c>
      <c r="D1" s="2" t="s">
        <v>13</v>
      </c>
      <c r="E1" s="2" t="s">
        <v>14</v>
      </c>
    </row>
    <row r="2" customFormat="false" ht="14.25" hidden="false" customHeight="false" outlineLevel="0" collapsed="false">
      <c r="A2" s="1" t="s">
        <v>15</v>
      </c>
      <c r="B2" s="1" t="n">
        <v>40.534138</v>
      </c>
      <c r="C2" s="1" t="n">
        <v>-104.659159</v>
      </c>
      <c r="D2" s="1" t="s">
        <v>7</v>
      </c>
      <c r="E2" s="1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I8" activeCellId="1" sqref="R2:R8 I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5.44"/>
    <col collapsed="false" customWidth="true" hidden="false" outlineLevel="0" max="3" min="3" style="1" width="10"/>
    <col collapsed="false" customWidth="true" hidden="false" outlineLevel="0" max="4" min="4" style="1" width="8.33"/>
    <col collapsed="false" customWidth="true" hidden="false" outlineLevel="0" max="6" min="5" style="1" width="8.67"/>
    <col collapsed="false" customWidth="true" hidden="false" outlineLevel="0" max="8" min="7" style="1" width="8.44"/>
    <col collapsed="false" customWidth="true" hidden="false" outlineLevel="0" max="10" min="9" style="1" width="12"/>
    <col collapsed="false" customWidth="true" hidden="false" outlineLevel="0" max="11" min="11" style="1" width="13.11"/>
    <col collapsed="false" customWidth="true" hidden="false" outlineLevel="0" max="12" min="12" style="1" width="8.44"/>
    <col collapsed="false" customWidth="true" hidden="false" outlineLevel="0" max="16" min="16" style="1" width="8.67"/>
    <col collapsed="false" customWidth="true" hidden="false" outlineLevel="0" max="17" min="17" style="1" width="14.56"/>
    <col collapsed="false" customWidth="true" hidden="false" outlineLevel="0" max="18" min="18" style="1" width="63.88"/>
    <col collapsed="false" customWidth="true" hidden="false" outlineLevel="0" max="19" min="19" style="1" width="9.88"/>
  </cols>
  <sheetData>
    <row r="1" s="5" customFormat="true" ht="72" hidden="false" customHeight="false" outlineLevel="0" collapsed="false">
      <c r="A1" s="5" t="s">
        <v>10</v>
      </c>
      <c r="B1" s="5" t="s">
        <v>14</v>
      </c>
      <c r="C1" s="5" t="s">
        <v>17</v>
      </c>
      <c r="D1" s="5" t="s">
        <v>11</v>
      </c>
      <c r="E1" s="5" t="s">
        <v>12</v>
      </c>
      <c r="F1" s="6" t="s">
        <v>18</v>
      </c>
      <c r="G1" s="6" t="s">
        <v>19</v>
      </c>
      <c r="H1" s="6" t="s">
        <v>20</v>
      </c>
      <c r="I1" s="5" t="s">
        <v>21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  <c r="O1" s="5" t="s">
        <v>27</v>
      </c>
      <c r="P1" s="5" t="s">
        <v>28</v>
      </c>
      <c r="Q1" s="5" t="s">
        <v>29</v>
      </c>
      <c r="R1" s="5" t="s">
        <v>30</v>
      </c>
      <c r="S1" s="5" t="s">
        <v>31</v>
      </c>
    </row>
    <row r="2" customFormat="false" ht="14.25" hidden="false" customHeight="false" outlineLevel="0" collapsed="false">
      <c r="A2" s="1" t="s">
        <v>15</v>
      </c>
      <c r="B2" s="1" t="s">
        <v>32</v>
      </c>
      <c r="C2" s="1" t="s">
        <v>33</v>
      </c>
      <c r="D2" s="1" t="n">
        <v>0</v>
      </c>
      <c r="E2" s="1" t="n">
        <v>0</v>
      </c>
      <c r="F2" s="7" t="n">
        <v>365</v>
      </c>
      <c r="G2" s="7" t="n">
        <v>48</v>
      </c>
      <c r="H2" s="7" t="n">
        <v>0.005</v>
      </c>
      <c r="I2" s="1" t="n">
        <v>29.9170403587444</v>
      </c>
      <c r="J2" s="1" t="n">
        <v>7.63004484304933</v>
      </c>
      <c r="K2" s="1" t="n">
        <v>1</v>
      </c>
      <c r="L2" s="1" t="n">
        <v>38</v>
      </c>
      <c r="M2" s="1" t="n">
        <v>8</v>
      </c>
      <c r="N2" s="1" t="n">
        <v>20</v>
      </c>
      <c r="O2" s="1" t="s">
        <v>34</v>
      </c>
      <c r="P2" s="1" t="s">
        <v>35</v>
      </c>
      <c r="Q2" s="1" t="s">
        <v>36</v>
      </c>
      <c r="R2" s="1" t="s">
        <v>7</v>
      </c>
      <c r="S2" s="1" t="s">
        <v>37</v>
      </c>
    </row>
    <row r="3" customFormat="false" ht="14.25" hidden="false" customHeight="false" outlineLevel="0" collapsed="false">
      <c r="A3" s="1" t="s">
        <v>15</v>
      </c>
      <c r="B3" s="1" t="s">
        <v>32</v>
      </c>
      <c r="C3" s="1" t="s">
        <v>38</v>
      </c>
      <c r="D3" s="1" t="n">
        <v>0</v>
      </c>
      <c r="E3" s="1" t="n">
        <v>0</v>
      </c>
      <c r="F3" s="7" t="n">
        <v>365</v>
      </c>
      <c r="G3" s="7" t="n">
        <v>48</v>
      </c>
      <c r="H3" s="7" t="n">
        <v>0.005</v>
      </c>
      <c r="I3" s="1" t="n">
        <v>7.63953488372093</v>
      </c>
      <c r="J3" s="1" t="n">
        <v>11.8158914728682</v>
      </c>
      <c r="K3" s="1" t="n">
        <v>1</v>
      </c>
      <c r="L3" s="1" t="n">
        <v>38</v>
      </c>
      <c r="M3" s="1" t="n">
        <v>8</v>
      </c>
      <c r="N3" s="1" t="n">
        <v>20</v>
      </c>
      <c r="O3" s="1" t="s">
        <v>34</v>
      </c>
      <c r="P3" s="1" t="s">
        <v>35</v>
      </c>
      <c r="Q3" s="1" t="s">
        <v>36</v>
      </c>
      <c r="R3" s="1" t="s">
        <v>7</v>
      </c>
      <c r="S3" s="1" t="s">
        <v>37</v>
      </c>
    </row>
    <row r="4" customFormat="false" ht="14.25" hidden="false" customHeight="false" outlineLevel="0" collapsed="false">
      <c r="A4" s="1" t="s">
        <v>15</v>
      </c>
      <c r="B4" s="1" t="s">
        <v>32</v>
      </c>
      <c r="C4" s="1" t="s">
        <v>39</v>
      </c>
      <c r="D4" s="1" t="n">
        <v>0</v>
      </c>
      <c r="E4" s="1" t="n">
        <v>0</v>
      </c>
      <c r="F4" s="7" t="n">
        <v>365</v>
      </c>
      <c r="G4" s="7" t="n">
        <v>48</v>
      </c>
      <c r="H4" s="7" t="n">
        <v>0.005</v>
      </c>
      <c r="I4" s="1" t="n">
        <v>6.35621521335807</v>
      </c>
      <c r="J4" s="1" t="n">
        <v>4.19480519480519</v>
      </c>
      <c r="K4" s="1" t="n">
        <v>1</v>
      </c>
      <c r="L4" s="1" t="n">
        <v>38</v>
      </c>
      <c r="M4" s="1" t="n">
        <v>8</v>
      </c>
      <c r="N4" s="1" t="n">
        <v>20</v>
      </c>
      <c r="O4" s="1" t="s">
        <v>34</v>
      </c>
      <c r="P4" s="1" t="s">
        <v>35</v>
      </c>
      <c r="Q4" s="1" t="s">
        <v>36</v>
      </c>
      <c r="R4" s="1" t="s">
        <v>7</v>
      </c>
      <c r="S4" s="1" t="s">
        <v>37</v>
      </c>
    </row>
    <row r="5" customFormat="false" ht="14.25" hidden="false" customHeight="false" outlineLevel="0" collapsed="false">
      <c r="A5" s="1" t="s">
        <v>15</v>
      </c>
      <c r="B5" s="1" t="s">
        <v>32</v>
      </c>
      <c r="C5" s="1" t="s">
        <v>40</v>
      </c>
      <c r="D5" s="1" t="n">
        <v>0</v>
      </c>
      <c r="E5" s="1" t="n">
        <v>0</v>
      </c>
      <c r="F5" s="7" t="n">
        <v>365</v>
      </c>
      <c r="G5" s="7" t="n">
        <v>48</v>
      </c>
      <c r="H5" s="7" t="n">
        <v>0.005</v>
      </c>
      <c r="I5" s="1" t="n">
        <v>11.5360824742268</v>
      </c>
      <c r="J5" s="1" t="n">
        <v>6.0659793814433</v>
      </c>
      <c r="K5" s="1" t="n">
        <v>1</v>
      </c>
      <c r="L5" s="1" t="n">
        <v>38</v>
      </c>
      <c r="M5" s="1" t="n">
        <v>8</v>
      </c>
      <c r="N5" s="1" t="n">
        <v>20</v>
      </c>
      <c r="O5" s="1" t="s">
        <v>34</v>
      </c>
      <c r="P5" s="1" t="s">
        <v>35</v>
      </c>
      <c r="Q5" s="1" t="s">
        <v>36</v>
      </c>
      <c r="R5" s="1" t="s">
        <v>7</v>
      </c>
      <c r="S5" s="1" t="s">
        <v>37</v>
      </c>
    </row>
    <row r="6" customFormat="false" ht="14.25" hidden="false" customHeight="false" outlineLevel="0" collapsed="false">
      <c r="A6" s="1" t="s">
        <v>15</v>
      </c>
      <c r="B6" s="1" t="s">
        <v>32</v>
      </c>
      <c r="C6" s="1" t="s">
        <v>41</v>
      </c>
      <c r="D6" s="1" t="n">
        <v>0</v>
      </c>
      <c r="E6" s="1" t="n">
        <v>0</v>
      </c>
      <c r="F6" s="7" t="n">
        <v>365</v>
      </c>
      <c r="G6" s="7" t="n">
        <v>48</v>
      </c>
      <c r="H6" s="7" t="n">
        <v>0.005</v>
      </c>
      <c r="I6" s="1" t="n">
        <v>14.4816666666667</v>
      </c>
      <c r="J6" s="1" t="n">
        <v>3.95833333333333</v>
      </c>
      <c r="K6" s="1" t="n">
        <v>1</v>
      </c>
      <c r="L6" s="1" t="n">
        <v>38</v>
      </c>
      <c r="M6" s="1" t="n">
        <v>8</v>
      </c>
      <c r="N6" s="1" t="n">
        <v>20</v>
      </c>
      <c r="O6" s="1" t="s">
        <v>34</v>
      </c>
      <c r="P6" s="1" t="s">
        <v>35</v>
      </c>
      <c r="Q6" s="1" t="s">
        <v>36</v>
      </c>
      <c r="R6" s="1" t="s">
        <v>7</v>
      </c>
      <c r="S6" s="1" t="s">
        <v>37</v>
      </c>
    </row>
    <row r="7" customFormat="false" ht="14.25" hidden="false" customHeight="false" outlineLevel="0" collapsed="false">
      <c r="A7" s="1" t="s">
        <v>15</v>
      </c>
      <c r="B7" s="1" t="s">
        <v>32</v>
      </c>
      <c r="C7" s="1" t="s">
        <v>42</v>
      </c>
      <c r="D7" s="1" t="n">
        <v>0</v>
      </c>
      <c r="E7" s="1" t="n">
        <v>0</v>
      </c>
      <c r="F7" s="7" t="n">
        <v>365</v>
      </c>
      <c r="G7" s="7" t="n">
        <v>48</v>
      </c>
      <c r="H7" s="7" t="n">
        <v>0.005</v>
      </c>
      <c r="I7" s="1" t="n">
        <v>13.007561436673</v>
      </c>
      <c r="J7" s="1" t="n">
        <v>9.58034026465028</v>
      </c>
      <c r="K7" s="1" t="n">
        <v>1</v>
      </c>
      <c r="L7" s="1" t="n">
        <v>38</v>
      </c>
      <c r="M7" s="1" t="n">
        <v>8</v>
      </c>
      <c r="N7" s="1" t="n">
        <v>20</v>
      </c>
      <c r="O7" s="1" t="s">
        <v>34</v>
      </c>
      <c r="P7" s="1" t="s">
        <v>35</v>
      </c>
      <c r="Q7" s="1" t="s">
        <v>36</v>
      </c>
      <c r="R7" s="1" t="s">
        <v>7</v>
      </c>
      <c r="S7" s="1" t="s">
        <v>37</v>
      </c>
    </row>
    <row r="8" customFormat="false" ht="14.25" hidden="false" customHeight="false" outlineLevel="0" collapsed="false">
      <c r="A8" s="1" t="s">
        <v>15</v>
      </c>
      <c r="B8" s="1" t="s">
        <v>32</v>
      </c>
      <c r="C8" s="1" t="s">
        <v>43</v>
      </c>
      <c r="D8" s="1" t="n">
        <v>0</v>
      </c>
      <c r="E8" s="1" t="n">
        <v>0</v>
      </c>
      <c r="F8" s="7" t="n">
        <v>365</v>
      </c>
      <c r="G8" s="7" t="n">
        <v>48</v>
      </c>
      <c r="H8" s="7" t="n">
        <v>0.005</v>
      </c>
      <c r="I8" s="1" t="n">
        <v>8.32951945080092</v>
      </c>
      <c r="J8" s="1" t="n">
        <v>6.76430205949657</v>
      </c>
      <c r="K8" s="1" t="n">
        <v>1</v>
      </c>
      <c r="L8" s="1" t="n">
        <v>38</v>
      </c>
      <c r="M8" s="1" t="n">
        <v>8</v>
      </c>
      <c r="N8" s="1" t="n">
        <v>20</v>
      </c>
      <c r="O8" s="1" t="s">
        <v>34</v>
      </c>
      <c r="P8" s="1" t="s">
        <v>35</v>
      </c>
      <c r="Q8" s="1" t="s">
        <v>36</v>
      </c>
      <c r="R8" s="1" t="s">
        <v>7</v>
      </c>
      <c r="S8" s="1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P9" activeCellId="1" sqref="R2:R8 P9"/>
    </sheetView>
  </sheetViews>
  <sheetFormatPr defaultColWidth="8.5390625" defaultRowHeight="14.25" zeroHeight="false" outlineLevelRow="0" outlineLevelCol="0"/>
  <cols>
    <col collapsed="false" customWidth="true" hidden="false" outlineLevel="0" max="5" min="1" style="1" width="15.66"/>
    <col collapsed="false" customWidth="true" hidden="false" outlineLevel="0" max="13" min="6" style="8" width="15.66"/>
    <col collapsed="false" customWidth="true" hidden="false" outlineLevel="0" max="16" min="14" style="1" width="15.66"/>
    <col collapsed="false" customWidth="true" hidden="false" outlineLevel="0" max="17" min="17" style="1" width="18.66"/>
  </cols>
  <sheetData>
    <row r="1" s="12" customFormat="true" ht="57" hidden="false" customHeight="false" outlineLevel="0" collapsed="false">
      <c r="A1" s="9" t="s">
        <v>10</v>
      </c>
      <c r="B1" s="9" t="s">
        <v>17</v>
      </c>
      <c r="C1" s="10" t="s">
        <v>18</v>
      </c>
      <c r="D1" s="10" t="s">
        <v>19</v>
      </c>
      <c r="E1" s="10" t="s">
        <v>20</v>
      </c>
      <c r="F1" s="9" t="s">
        <v>27</v>
      </c>
      <c r="G1" s="11" t="s">
        <v>44</v>
      </c>
      <c r="H1" s="11" t="s">
        <v>45</v>
      </c>
      <c r="I1" s="11" t="s">
        <v>46</v>
      </c>
      <c r="J1" s="11" t="s">
        <v>47</v>
      </c>
      <c r="K1" s="11" t="s">
        <v>48</v>
      </c>
      <c r="L1" s="9" t="s">
        <v>49</v>
      </c>
      <c r="M1" s="9" t="s">
        <v>50</v>
      </c>
      <c r="N1" s="9" t="s">
        <v>14</v>
      </c>
      <c r="O1" s="9" t="s">
        <v>29</v>
      </c>
      <c r="P1" s="9" t="s">
        <v>31</v>
      </c>
    </row>
    <row r="2" customFormat="false" ht="14.25" hidden="false" customHeight="false" outlineLevel="0" collapsed="false">
      <c r="A2" s="1" t="s">
        <v>15</v>
      </c>
      <c r="B2" s="1" t="s">
        <v>51</v>
      </c>
      <c r="C2" s="13" t="n">
        <v>365</v>
      </c>
      <c r="D2" s="13" t="n">
        <v>62</v>
      </c>
      <c r="E2" s="13" t="n">
        <v>0.0059867</v>
      </c>
      <c r="F2" s="8" t="s">
        <v>52</v>
      </c>
      <c r="G2" s="14" t="n">
        <v>1</v>
      </c>
      <c r="H2" s="14" t="n">
        <v>0.02</v>
      </c>
      <c r="I2" s="14" t="n">
        <v>1</v>
      </c>
      <c r="J2" s="14" t="n">
        <v>20</v>
      </c>
      <c r="K2" s="14" t="s">
        <v>53</v>
      </c>
      <c r="L2" s="8" t="n">
        <v>1</v>
      </c>
      <c r="M2" s="8" t="s">
        <v>54</v>
      </c>
      <c r="N2" s="1" t="s">
        <v>55</v>
      </c>
      <c r="O2" s="1" t="s">
        <v>36</v>
      </c>
      <c r="P2" s="1" t="s">
        <v>56</v>
      </c>
    </row>
    <row r="3" customFormat="false" ht="14.25" hidden="false" customHeight="false" outlineLevel="0" collapsed="false">
      <c r="A3" s="1" t="s">
        <v>15</v>
      </c>
      <c r="B3" s="1" t="s">
        <v>57</v>
      </c>
      <c r="C3" s="13" t="n">
        <v>365</v>
      </c>
      <c r="D3" s="13" t="n">
        <v>62</v>
      </c>
      <c r="E3" s="13" t="n">
        <v>0.0059867</v>
      </c>
      <c r="F3" s="8" t="s">
        <v>52</v>
      </c>
      <c r="G3" s="14" t="n">
        <v>1</v>
      </c>
      <c r="H3" s="14" t="n">
        <v>0.02</v>
      </c>
      <c r="I3" s="14" t="n">
        <v>1</v>
      </c>
      <c r="J3" s="14" t="n">
        <v>20</v>
      </c>
      <c r="K3" s="14" t="s">
        <v>53</v>
      </c>
      <c r="L3" s="8" t="n">
        <v>1</v>
      </c>
      <c r="M3" s="8" t="s">
        <v>54</v>
      </c>
      <c r="N3" s="1" t="s">
        <v>55</v>
      </c>
      <c r="O3" s="1" t="s">
        <v>36</v>
      </c>
      <c r="P3" s="1" t="s">
        <v>56</v>
      </c>
    </row>
    <row r="4" customFormat="false" ht="14.25" hidden="false" customHeight="false" outlineLevel="0" collapsed="false">
      <c r="A4" s="1" t="s">
        <v>15</v>
      </c>
      <c r="B4" s="1" t="s">
        <v>58</v>
      </c>
      <c r="C4" s="13" t="n">
        <v>365</v>
      </c>
      <c r="D4" s="13" t="n">
        <v>62</v>
      </c>
      <c r="E4" s="13" t="n">
        <v>0.0059867</v>
      </c>
      <c r="F4" s="8" t="s">
        <v>52</v>
      </c>
      <c r="G4" s="14" t="n">
        <v>1</v>
      </c>
      <c r="H4" s="14" t="n">
        <v>0.02</v>
      </c>
      <c r="I4" s="14" t="n">
        <v>1</v>
      </c>
      <c r="J4" s="14" t="n">
        <v>20</v>
      </c>
      <c r="K4" s="14" t="s">
        <v>53</v>
      </c>
      <c r="L4" s="8" t="n">
        <v>1</v>
      </c>
      <c r="M4" s="8" t="s">
        <v>54</v>
      </c>
      <c r="N4" s="1" t="s">
        <v>55</v>
      </c>
      <c r="O4" s="1" t="s">
        <v>36</v>
      </c>
      <c r="P4" s="1" t="s">
        <v>56</v>
      </c>
    </row>
    <row r="5" customFormat="false" ht="14.25" hidden="false" customHeight="false" outlineLevel="0" collapsed="false">
      <c r="A5" s="1" t="s">
        <v>15</v>
      </c>
      <c r="B5" s="1" t="s">
        <v>59</v>
      </c>
      <c r="C5" s="13" t="n">
        <v>365</v>
      </c>
      <c r="D5" s="13" t="n">
        <v>62</v>
      </c>
      <c r="E5" s="13" t="n">
        <v>0.0059867</v>
      </c>
      <c r="F5" s="8" t="s">
        <v>52</v>
      </c>
      <c r="G5" s="14" t="n">
        <v>1</v>
      </c>
      <c r="H5" s="14" t="n">
        <v>0.02</v>
      </c>
      <c r="I5" s="14" t="n">
        <v>1</v>
      </c>
      <c r="J5" s="14" t="n">
        <v>20</v>
      </c>
      <c r="K5" s="14" t="s">
        <v>53</v>
      </c>
      <c r="L5" s="8" t="n">
        <v>1</v>
      </c>
      <c r="M5" s="8" t="s">
        <v>54</v>
      </c>
      <c r="N5" s="1" t="s">
        <v>55</v>
      </c>
      <c r="O5" s="1" t="s">
        <v>36</v>
      </c>
      <c r="P5" s="1" t="s">
        <v>56</v>
      </c>
    </row>
    <row r="6" customFormat="false" ht="14.25" hidden="false" customHeight="false" outlineLevel="0" collapsed="false">
      <c r="A6" s="1" t="s">
        <v>15</v>
      </c>
      <c r="B6" s="1" t="s">
        <v>60</v>
      </c>
      <c r="C6" s="13" t="n">
        <v>365</v>
      </c>
      <c r="D6" s="13" t="n">
        <v>62</v>
      </c>
      <c r="E6" s="13" t="n">
        <v>0.0059867</v>
      </c>
      <c r="F6" s="8" t="s">
        <v>52</v>
      </c>
      <c r="G6" s="14" t="n">
        <v>1</v>
      </c>
      <c r="H6" s="14" t="n">
        <v>0.02</v>
      </c>
      <c r="I6" s="14" t="n">
        <v>1</v>
      </c>
      <c r="J6" s="14" t="n">
        <v>20</v>
      </c>
      <c r="K6" s="14" t="s">
        <v>53</v>
      </c>
      <c r="L6" s="8" t="n">
        <v>1</v>
      </c>
      <c r="M6" s="8" t="s">
        <v>54</v>
      </c>
      <c r="N6" s="1" t="s">
        <v>55</v>
      </c>
      <c r="O6" s="1" t="s">
        <v>36</v>
      </c>
      <c r="P6" s="1" t="s">
        <v>56</v>
      </c>
    </row>
    <row r="7" customFormat="false" ht="14.25" hidden="false" customHeight="false" outlineLevel="0" collapsed="false">
      <c r="A7" s="1" t="s">
        <v>15</v>
      </c>
      <c r="B7" s="1" t="s">
        <v>61</v>
      </c>
      <c r="C7" s="13" t="n">
        <v>365</v>
      </c>
      <c r="D7" s="13" t="n">
        <v>62</v>
      </c>
      <c r="E7" s="13" t="n">
        <v>0.0059867</v>
      </c>
      <c r="F7" s="8" t="s">
        <v>52</v>
      </c>
      <c r="G7" s="14" t="n">
        <v>1</v>
      </c>
      <c r="H7" s="14" t="n">
        <v>0.02</v>
      </c>
      <c r="I7" s="14" t="n">
        <v>1</v>
      </c>
      <c r="J7" s="14" t="n">
        <v>20</v>
      </c>
      <c r="K7" s="14" t="s">
        <v>53</v>
      </c>
      <c r="L7" s="8" t="n">
        <v>1</v>
      </c>
      <c r="M7" s="8" t="s">
        <v>54</v>
      </c>
      <c r="N7" s="1" t="s">
        <v>55</v>
      </c>
      <c r="O7" s="1" t="s">
        <v>36</v>
      </c>
      <c r="P7" s="1" t="s">
        <v>56</v>
      </c>
    </row>
    <row r="8" customFormat="false" ht="14.25" hidden="false" customHeight="false" outlineLevel="0" collapsed="false">
      <c r="A8" s="1" t="s">
        <v>15</v>
      </c>
      <c r="B8" s="1" t="s">
        <v>62</v>
      </c>
      <c r="C8" s="13" t="n">
        <v>365</v>
      </c>
      <c r="D8" s="13" t="n">
        <v>62</v>
      </c>
      <c r="E8" s="13" t="n">
        <v>0.0059867</v>
      </c>
      <c r="F8" s="8" t="s">
        <v>52</v>
      </c>
      <c r="G8" s="14" t="n">
        <v>1</v>
      </c>
      <c r="H8" s="14" t="n">
        <v>0.02</v>
      </c>
      <c r="I8" s="14" t="n">
        <v>1</v>
      </c>
      <c r="J8" s="14" t="n">
        <v>20</v>
      </c>
      <c r="K8" s="14" t="s">
        <v>53</v>
      </c>
      <c r="L8" s="8" t="n">
        <v>1</v>
      </c>
      <c r="M8" s="8" t="s">
        <v>54</v>
      </c>
      <c r="N8" s="1" t="s">
        <v>55</v>
      </c>
      <c r="O8" s="1" t="s">
        <v>36</v>
      </c>
      <c r="P8" s="1" t="s">
        <v>56</v>
      </c>
    </row>
    <row r="10" customFormat="false" ht="14.25" hidden="false" customHeight="false" outlineLevel="0" collapsed="false">
      <c r="A10" s="1" t="s">
        <v>15</v>
      </c>
      <c r="B10" s="1" t="s">
        <v>63</v>
      </c>
      <c r="C10" s="13" t="n">
        <v>365</v>
      </c>
      <c r="D10" s="13" t="n">
        <v>62</v>
      </c>
      <c r="E10" s="13" t="n">
        <v>0.0059867</v>
      </c>
      <c r="F10" s="8" t="s">
        <v>52</v>
      </c>
      <c r="G10" s="14" t="n">
        <v>1</v>
      </c>
      <c r="H10" s="14" t="n">
        <v>0.02</v>
      </c>
      <c r="I10" s="14" t="n">
        <v>1</v>
      </c>
      <c r="J10" s="14" t="n">
        <v>20</v>
      </c>
      <c r="K10" s="14" t="s">
        <v>53</v>
      </c>
      <c r="L10" s="8" t="n">
        <v>1</v>
      </c>
      <c r="M10" s="8" t="s">
        <v>64</v>
      </c>
      <c r="N10" s="1" t="s">
        <v>55</v>
      </c>
      <c r="O10" s="1" t="s">
        <v>36</v>
      </c>
      <c r="P10" s="1" t="s">
        <v>56</v>
      </c>
    </row>
    <row r="11" customFormat="false" ht="14.25" hidden="false" customHeight="false" outlineLevel="0" collapsed="false">
      <c r="A11" s="1" t="s">
        <v>15</v>
      </c>
      <c r="B11" s="1" t="s">
        <v>65</v>
      </c>
      <c r="C11" s="13" t="n">
        <v>365</v>
      </c>
      <c r="D11" s="13" t="n">
        <v>62</v>
      </c>
      <c r="E11" s="13" t="n">
        <v>0.0059867</v>
      </c>
      <c r="F11" s="8" t="s">
        <v>52</v>
      </c>
      <c r="G11" s="14" t="n">
        <v>1</v>
      </c>
      <c r="H11" s="14" t="n">
        <v>0.02</v>
      </c>
      <c r="I11" s="14" t="n">
        <v>1</v>
      </c>
      <c r="J11" s="14" t="n">
        <v>20</v>
      </c>
      <c r="K11" s="14" t="s">
        <v>53</v>
      </c>
      <c r="L11" s="8" t="n">
        <v>1</v>
      </c>
      <c r="M11" s="8" t="s">
        <v>64</v>
      </c>
      <c r="N11" s="1" t="s">
        <v>55</v>
      </c>
      <c r="O11" s="1" t="s">
        <v>36</v>
      </c>
      <c r="P11" s="1" t="s">
        <v>56</v>
      </c>
    </row>
    <row r="12" customFormat="false" ht="14.25" hidden="false" customHeight="false" outlineLevel="0" collapsed="false">
      <c r="A12" s="1" t="s">
        <v>15</v>
      </c>
      <c r="B12" s="1" t="s">
        <v>66</v>
      </c>
      <c r="C12" s="13" t="n">
        <v>365</v>
      </c>
      <c r="D12" s="13" t="n">
        <v>62</v>
      </c>
      <c r="E12" s="13" t="n">
        <v>0.0059867</v>
      </c>
      <c r="F12" s="8" t="s">
        <v>52</v>
      </c>
      <c r="G12" s="14" t="n">
        <v>1</v>
      </c>
      <c r="H12" s="14" t="n">
        <v>0.02</v>
      </c>
      <c r="I12" s="14" t="n">
        <v>1</v>
      </c>
      <c r="J12" s="14" t="n">
        <v>20</v>
      </c>
      <c r="K12" s="14" t="s">
        <v>53</v>
      </c>
      <c r="L12" s="8" t="n">
        <v>1</v>
      </c>
      <c r="M12" s="8" t="s">
        <v>64</v>
      </c>
      <c r="N12" s="1" t="s">
        <v>55</v>
      </c>
      <c r="O12" s="1" t="s">
        <v>36</v>
      </c>
      <c r="P12" s="1" t="s">
        <v>56</v>
      </c>
    </row>
    <row r="13" customFormat="false" ht="14.25" hidden="false" customHeight="false" outlineLevel="0" collapsed="false">
      <c r="A13" s="1" t="s">
        <v>15</v>
      </c>
      <c r="B13" s="1" t="s">
        <v>67</v>
      </c>
      <c r="C13" s="13" t="n">
        <v>365</v>
      </c>
      <c r="D13" s="13" t="n">
        <v>62</v>
      </c>
      <c r="E13" s="13" t="n">
        <v>0.0059867</v>
      </c>
      <c r="F13" s="8" t="s">
        <v>52</v>
      </c>
      <c r="G13" s="14" t="n">
        <v>1</v>
      </c>
      <c r="H13" s="14" t="n">
        <v>0.02</v>
      </c>
      <c r="I13" s="14" t="n">
        <v>1</v>
      </c>
      <c r="J13" s="14" t="n">
        <v>20</v>
      </c>
      <c r="K13" s="14" t="s">
        <v>53</v>
      </c>
      <c r="L13" s="8" t="n">
        <v>1</v>
      </c>
      <c r="M13" s="8" t="s">
        <v>64</v>
      </c>
      <c r="N13" s="1" t="s">
        <v>55</v>
      </c>
      <c r="O13" s="1" t="s">
        <v>36</v>
      </c>
      <c r="P13" s="1" t="s">
        <v>56</v>
      </c>
    </row>
    <row r="14" customFormat="false" ht="14.25" hidden="false" customHeight="false" outlineLevel="0" collapsed="false">
      <c r="A14" s="1" t="s">
        <v>15</v>
      </c>
      <c r="B14" s="1" t="s">
        <v>68</v>
      </c>
      <c r="C14" s="13" t="n">
        <v>365</v>
      </c>
      <c r="D14" s="13" t="n">
        <v>62</v>
      </c>
      <c r="E14" s="13" t="n">
        <v>0.0059867</v>
      </c>
      <c r="F14" s="8" t="s">
        <v>52</v>
      </c>
      <c r="G14" s="14" t="n">
        <v>1</v>
      </c>
      <c r="H14" s="14" t="n">
        <v>0.02</v>
      </c>
      <c r="I14" s="14" t="n">
        <v>1</v>
      </c>
      <c r="J14" s="14" t="n">
        <v>20</v>
      </c>
      <c r="K14" s="14" t="s">
        <v>53</v>
      </c>
      <c r="L14" s="8" t="n">
        <v>1</v>
      </c>
      <c r="M14" s="8" t="s">
        <v>64</v>
      </c>
      <c r="N14" s="1" t="s">
        <v>55</v>
      </c>
      <c r="O14" s="1" t="s">
        <v>36</v>
      </c>
      <c r="P14" s="1" t="s">
        <v>56</v>
      </c>
    </row>
    <row r="15" customFormat="false" ht="14.25" hidden="false" customHeight="false" outlineLevel="0" collapsed="false">
      <c r="A15" s="1" t="s">
        <v>15</v>
      </c>
      <c r="B15" s="1" t="s">
        <v>69</v>
      </c>
      <c r="C15" s="13" t="n">
        <v>365</v>
      </c>
      <c r="D15" s="13" t="n">
        <v>62</v>
      </c>
      <c r="E15" s="13" t="n">
        <v>0.0059867</v>
      </c>
      <c r="F15" s="8" t="s">
        <v>52</v>
      </c>
      <c r="G15" s="14" t="n">
        <v>1</v>
      </c>
      <c r="H15" s="14" t="n">
        <v>0.02</v>
      </c>
      <c r="I15" s="14" t="n">
        <v>1</v>
      </c>
      <c r="J15" s="14" t="n">
        <v>20</v>
      </c>
      <c r="K15" s="14" t="s">
        <v>53</v>
      </c>
      <c r="L15" s="8" t="n">
        <v>1</v>
      </c>
      <c r="M15" s="8" t="s">
        <v>64</v>
      </c>
      <c r="N15" s="1" t="s">
        <v>55</v>
      </c>
      <c r="O15" s="1" t="s">
        <v>36</v>
      </c>
      <c r="P15" s="1" t="s">
        <v>56</v>
      </c>
    </row>
    <row r="16" customFormat="false" ht="14.25" hidden="false" customHeight="false" outlineLevel="0" collapsed="false">
      <c r="A16" s="1" t="s">
        <v>15</v>
      </c>
      <c r="B16" s="1" t="s">
        <v>70</v>
      </c>
      <c r="C16" s="13" t="n">
        <v>365</v>
      </c>
      <c r="D16" s="13" t="n">
        <v>62</v>
      </c>
      <c r="E16" s="13" t="n">
        <v>0.0059867</v>
      </c>
      <c r="F16" s="8" t="s">
        <v>52</v>
      </c>
      <c r="G16" s="14" t="n">
        <v>1</v>
      </c>
      <c r="H16" s="14" t="n">
        <v>0.02</v>
      </c>
      <c r="I16" s="14" t="n">
        <v>1</v>
      </c>
      <c r="J16" s="14" t="n">
        <v>20</v>
      </c>
      <c r="K16" s="14" t="s">
        <v>53</v>
      </c>
      <c r="L16" s="8" t="n">
        <v>1</v>
      </c>
      <c r="M16" s="8" t="s">
        <v>64</v>
      </c>
      <c r="N16" s="1" t="s">
        <v>55</v>
      </c>
      <c r="O16" s="1" t="s">
        <v>36</v>
      </c>
      <c r="P16" s="1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U2" activeCellId="1" sqref="R2:R8 U2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5" min="3" style="1" width="12"/>
    <col collapsed="false" customWidth="false" hidden="false" outlineLevel="0" max="6" min="6" style="8" width="8.56"/>
    <col collapsed="false" customWidth="true" hidden="false" outlineLevel="0" max="7" min="7" style="1" width="14.89"/>
    <col collapsed="false" customWidth="true" hidden="false" outlineLevel="0" max="8" min="8" style="1" width="19.89"/>
    <col collapsed="false" customWidth="true" hidden="false" outlineLevel="0" max="10" min="9" style="1" width="13.89"/>
    <col collapsed="false" customWidth="true" hidden="false" outlineLevel="0" max="12" min="11" style="1" width="26.44"/>
    <col collapsed="false" customWidth="true" hidden="false" outlineLevel="0" max="13" min="13" style="1" width="10"/>
    <col collapsed="false" customWidth="true" hidden="false" outlineLevel="0" max="14" min="14" style="1" width="12.66"/>
    <col collapsed="false" customWidth="true" hidden="false" outlineLevel="0" max="17" min="15" style="1" width="17.89"/>
    <col collapsed="false" customWidth="true" hidden="false" outlineLevel="0" max="18" min="18" style="1" width="18.11"/>
    <col collapsed="false" customWidth="true" hidden="false" outlineLevel="0" max="19" min="19" style="1" width="18.33"/>
    <col collapsed="false" customWidth="true" hidden="false" outlineLevel="0" max="20" min="20" style="1" width="18.11"/>
    <col collapsed="false" customWidth="true" hidden="false" outlineLevel="0" max="21" min="21" style="1" width="9.88"/>
  </cols>
  <sheetData>
    <row r="1" s="4" customFormat="true" ht="72" hidden="false" customHeight="false" outlineLevel="0" collapsed="false">
      <c r="A1" s="2" t="s">
        <v>10</v>
      </c>
      <c r="B1" s="2" t="s">
        <v>17</v>
      </c>
      <c r="C1" s="15" t="s">
        <v>18</v>
      </c>
      <c r="D1" s="15" t="s">
        <v>19</v>
      </c>
      <c r="E1" s="15" t="s">
        <v>20</v>
      </c>
      <c r="F1" s="2" t="s">
        <v>27</v>
      </c>
      <c r="G1" s="2" t="s">
        <v>14</v>
      </c>
      <c r="H1" s="2" t="s">
        <v>29</v>
      </c>
      <c r="I1" s="2" t="s">
        <v>71</v>
      </c>
      <c r="J1" s="16" t="s">
        <v>72</v>
      </c>
      <c r="K1" s="17" t="s">
        <v>73</v>
      </c>
      <c r="L1" s="17" t="s">
        <v>74</v>
      </c>
      <c r="M1" s="18" t="s">
        <v>75</v>
      </c>
      <c r="N1" s="2" t="s">
        <v>76</v>
      </c>
      <c r="O1" s="19" t="s">
        <v>77</v>
      </c>
      <c r="P1" s="19" t="s">
        <v>78</v>
      </c>
      <c r="Q1" s="20" t="s">
        <v>79</v>
      </c>
      <c r="R1" s="21" t="s">
        <v>80</v>
      </c>
      <c r="S1" s="21" t="s">
        <v>81</v>
      </c>
      <c r="T1" s="22" t="s">
        <v>82</v>
      </c>
      <c r="U1" s="2" t="s">
        <v>31</v>
      </c>
    </row>
    <row r="2" customFormat="false" ht="14.25" hidden="false" customHeight="false" outlineLevel="0" collapsed="false">
      <c r="A2" s="1" t="s">
        <v>15</v>
      </c>
      <c r="B2" s="1" t="s">
        <v>83</v>
      </c>
      <c r="C2" s="23" t="n">
        <v>200</v>
      </c>
      <c r="D2" s="23" t="n">
        <v>365</v>
      </c>
      <c r="E2" s="23" t="n">
        <v>0.0375</v>
      </c>
      <c r="F2" s="8" t="s">
        <v>34</v>
      </c>
      <c r="G2" s="1" t="s">
        <v>84</v>
      </c>
      <c r="H2" s="1" t="s">
        <v>36</v>
      </c>
      <c r="I2" s="24" t="b">
        <f aca="false">FALSE()</f>
        <v>0</v>
      </c>
      <c r="J2" s="25" t="n">
        <v>0</v>
      </c>
      <c r="K2" s="25" t="n">
        <v>0</v>
      </c>
      <c r="L2" s="25" t="n">
        <v>0</v>
      </c>
      <c r="M2" s="25" t="n">
        <v>0.1</v>
      </c>
      <c r="N2" s="24" t="b">
        <f aca="false">FALSE()</f>
        <v>0</v>
      </c>
      <c r="O2" s="23" t="n">
        <v>0</v>
      </c>
      <c r="P2" s="23" t="n">
        <v>0</v>
      </c>
      <c r="Q2" s="23" t="n">
        <v>0.1</v>
      </c>
      <c r="R2" s="26" t="n">
        <v>0</v>
      </c>
      <c r="S2" s="26" t="n">
        <v>0</v>
      </c>
      <c r="T2" s="26" t="n">
        <v>0.1</v>
      </c>
      <c r="U2" s="1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X14" activeCellId="1" sqref="R2:R8 X14"/>
    </sheetView>
  </sheetViews>
  <sheetFormatPr defaultColWidth="8.5390625" defaultRowHeight="14.25" zeroHeight="false" outlineLevelRow="0" outlineLevelCol="0"/>
  <cols>
    <col collapsed="false" customWidth="true" hidden="false" outlineLevel="0" max="3" min="3" style="1" width="16.11"/>
    <col collapsed="false" customWidth="true" hidden="false" outlineLevel="0" max="4" min="4" style="1" width="26.67"/>
    <col collapsed="false" customWidth="true" hidden="false" outlineLevel="0" max="5" min="5" style="1" width="14.56"/>
    <col collapsed="false" customWidth="true" hidden="false" outlineLevel="0" max="6" min="6" style="1" width="20.33"/>
    <col collapsed="false" customWidth="true" hidden="false" outlineLevel="0" max="7" min="7" style="1" width="10.66"/>
    <col collapsed="false" customWidth="true" hidden="false" outlineLevel="0" max="10" min="8" style="1" width="16.66"/>
    <col collapsed="false" customWidth="true" hidden="false" outlineLevel="0" max="12" min="11" style="1" width="36.66"/>
    <col collapsed="false" customWidth="true" hidden="false" outlineLevel="0" max="13" min="13" style="1" width="20.66"/>
    <col collapsed="false" customWidth="true" hidden="false" outlineLevel="0" max="14" min="14" style="1" width="20.44"/>
    <col collapsed="false" customWidth="true" hidden="false" outlineLevel="0" max="15" min="15" style="1" width="18.33"/>
    <col collapsed="false" customWidth="true" hidden="false" outlineLevel="0" max="16" min="16" style="1" width="32.66"/>
    <col collapsed="false" customWidth="true" hidden="false" outlineLevel="0" max="17" min="17" style="1" width="36.33"/>
    <col collapsed="false" customWidth="true" hidden="false" outlineLevel="0" max="18" min="18" style="1" width="38"/>
    <col collapsed="false" customWidth="true" hidden="false" outlineLevel="0" max="19" min="19" style="1" width="66.89"/>
    <col collapsed="false" customWidth="true" hidden="false" outlineLevel="0" max="20" min="20" style="1" width="22.11"/>
    <col collapsed="false" customWidth="true" hidden="false" outlineLevel="0" max="21" min="21" style="1" width="22.56"/>
    <col collapsed="false" customWidth="true" hidden="false" outlineLevel="0" max="22" min="22" style="1" width="33.66"/>
    <col collapsed="false" customWidth="true" hidden="false" outlineLevel="0" max="23" min="23" style="1" width="37.33"/>
    <col collapsed="false" customWidth="true" hidden="false" outlineLevel="0" max="24" min="24" style="1" width="37.66"/>
    <col collapsed="false" customWidth="true" hidden="false" outlineLevel="0" max="25" min="25" style="1" width="18.66"/>
  </cols>
  <sheetData>
    <row r="1" s="4" customFormat="true" ht="40.5" hidden="false" customHeight="true" outlineLevel="0" collapsed="false">
      <c r="A1" s="2" t="s">
        <v>10</v>
      </c>
      <c r="B1" s="2" t="s">
        <v>14</v>
      </c>
      <c r="C1" s="2" t="s">
        <v>17</v>
      </c>
      <c r="D1" s="2" t="s">
        <v>27</v>
      </c>
      <c r="E1" s="2" t="s">
        <v>86</v>
      </c>
      <c r="F1" s="27" t="s">
        <v>87</v>
      </c>
      <c r="G1" s="28" t="s">
        <v>19</v>
      </c>
      <c r="H1" s="15" t="s">
        <v>18</v>
      </c>
      <c r="I1" s="15" t="s">
        <v>20</v>
      </c>
      <c r="J1" s="29" t="s">
        <v>88</v>
      </c>
      <c r="K1" s="29" t="s">
        <v>89</v>
      </c>
      <c r="L1" s="18" t="s">
        <v>90</v>
      </c>
      <c r="M1" s="18" t="s">
        <v>91</v>
      </c>
      <c r="N1" s="18" t="s">
        <v>92</v>
      </c>
      <c r="O1" s="30" t="s">
        <v>93</v>
      </c>
      <c r="P1" s="30" t="s">
        <v>94</v>
      </c>
      <c r="Q1" s="30" t="s">
        <v>95</v>
      </c>
      <c r="R1" s="31" t="s">
        <v>96</v>
      </c>
      <c r="S1" s="31" t="s">
        <v>97</v>
      </c>
      <c r="T1" s="31" t="s">
        <v>98</v>
      </c>
      <c r="U1" s="31" t="s">
        <v>99</v>
      </c>
      <c r="V1" s="31" t="s">
        <v>100</v>
      </c>
      <c r="W1" s="31" t="s">
        <v>101</v>
      </c>
      <c r="X1" s="2" t="s">
        <v>29</v>
      </c>
      <c r="Y1" s="2" t="s">
        <v>31</v>
      </c>
    </row>
    <row r="2" customFormat="false" ht="14.25" hidden="false" customHeight="false" outlineLevel="0" collapsed="false">
      <c r="A2" s="1" t="s">
        <v>15</v>
      </c>
      <c r="B2" s="1" t="s">
        <v>102</v>
      </c>
      <c r="C2" s="1" t="s">
        <v>103</v>
      </c>
      <c r="D2" s="8" t="s">
        <v>34</v>
      </c>
      <c r="E2" s="1" t="s">
        <v>104</v>
      </c>
      <c r="F2" s="1" t="s">
        <v>105</v>
      </c>
      <c r="G2" s="13" t="n">
        <v>50</v>
      </c>
      <c r="H2" s="13" t="n">
        <v>365</v>
      </c>
      <c r="I2" s="13" t="n">
        <v>0.0043276</v>
      </c>
      <c r="J2" s="1" t="n">
        <v>8</v>
      </c>
      <c r="K2" s="1" t="n">
        <v>1</v>
      </c>
      <c r="L2" s="25" t="n">
        <v>0</v>
      </c>
      <c r="M2" s="25" t="n">
        <v>365</v>
      </c>
      <c r="N2" s="25" t="n">
        <v>0.34167</v>
      </c>
      <c r="O2" s="32" t="n">
        <v>0</v>
      </c>
      <c r="P2" s="32" t="n">
        <v>365</v>
      </c>
      <c r="Q2" s="32" t="n">
        <v>0.14961</v>
      </c>
      <c r="R2" s="33" t="n">
        <v>15</v>
      </c>
      <c r="S2" s="33" t="n">
        <v>15</v>
      </c>
      <c r="T2" s="33" t="n">
        <v>0.1</v>
      </c>
      <c r="U2" s="34" t="n">
        <v>1000</v>
      </c>
      <c r="V2" s="34" t="n">
        <v>5000</v>
      </c>
      <c r="W2" s="34" t="n">
        <v>3000</v>
      </c>
      <c r="X2" s="1" t="s">
        <v>36</v>
      </c>
      <c r="Y2" s="1" t="s">
        <v>106</v>
      </c>
    </row>
    <row r="3" customFormat="false" ht="14.25" hidden="false" customHeight="false" outlineLevel="0" collapsed="false">
      <c r="A3" s="1" t="s">
        <v>15</v>
      </c>
      <c r="B3" s="1" t="s">
        <v>102</v>
      </c>
      <c r="C3" s="1" t="s">
        <v>107</v>
      </c>
      <c r="D3" s="8" t="s">
        <v>34</v>
      </c>
      <c r="E3" s="1" t="s">
        <v>108</v>
      </c>
      <c r="F3" s="1" t="s">
        <v>109</v>
      </c>
      <c r="G3" s="13" t="n">
        <v>50</v>
      </c>
      <c r="H3" s="13" t="n">
        <v>365</v>
      </c>
      <c r="I3" s="13" t="n">
        <v>0.0043276</v>
      </c>
      <c r="J3" s="1" t="n">
        <v>26</v>
      </c>
      <c r="K3" s="1" t="n">
        <v>1</v>
      </c>
      <c r="L3" s="25" t="n">
        <v>0</v>
      </c>
      <c r="M3" s="25" t="n">
        <v>365</v>
      </c>
      <c r="N3" s="25" t="n">
        <v>0.34167</v>
      </c>
      <c r="O3" s="32" t="n">
        <v>0</v>
      </c>
      <c r="P3" s="32" t="n">
        <v>365</v>
      </c>
      <c r="Q3" s="32" t="n">
        <v>0.14961</v>
      </c>
      <c r="R3" s="33" t="n">
        <v>15</v>
      </c>
      <c r="S3" s="33" t="n">
        <v>15</v>
      </c>
      <c r="T3" s="33" t="n">
        <v>0.1</v>
      </c>
      <c r="U3" s="34" t="n">
        <v>1000</v>
      </c>
      <c r="V3" s="34" t="n">
        <v>5000</v>
      </c>
      <c r="W3" s="34" t="n">
        <v>3000</v>
      </c>
      <c r="X3" s="1" t="s">
        <v>36</v>
      </c>
      <c r="Y3" s="1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"/>
  <sheetViews>
    <sheetView showFormulas="false" showGridLines="true" showRowColHeaders="true" showZeros="true" rightToLeft="false" tabSelected="false" showOutlineSymbols="true" defaultGridColor="true" view="normal" topLeftCell="AF1" colorId="64" zoomScale="100" zoomScaleNormal="100" zoomScalePageLayoutView="100" workbookViewId="0">
      <selection pane="topLeft" activeCell="AW12" activeCellId="1" sqref="R2:R8 AW12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11.66"/>
    <col collapsed="false" customWidth="true" hidden="false" outlineLevel="0" max="5" min="5" style="1" width="11.44"/>
    <col collapsed="false" customWidth="true" hidden="false" outlineLevel="0" max="11" min="6" style="1" width="12.33"/>
    <col collapsed="false" customWidth="true" hidden="false" outlineLevel="0" max="12" min="12" style="8" width="12.33"/>
    <col collapsed="false" customWidth="true" hidden="false" outlineLevel="0" max="17" min="13" style="1" width="12.33"/>
    <col collapsed="false" customWidth="true" hidden="false" outlineLevel="0" max="19" min="18" style="1" width="10.89"/>
    <col collapsed="false" customWidth="true" hidden="false" outlineLevel="0" max="20" min="20" style="1" width="10.44"/>
    <col collapsed="false" customWidth="true" hidden="false" outlineLevel="0" max="23" min="21" style="1" width="15.44"/>
    <col collapsed="false" customWidth="true" hidden="false" outlineLevel="0" max="27" min="24" style="1" width="11.33"/>
    <col collapsed="false" customWidth="true" hidden="false" outlineLevel="0" max="28" min="28" style="1" width="14.11"/>
    <col collapsed="false" customWidth="true" hidden="false" outlineLevel="0" max="29" min="29" style="1" width="14.33"/>
    <col collapsed="false" customWidth="true" hidden="false" outlineLevel="0" max="30" min="30" style="1" width="11.33"/>
    <col collapsed="false" customWidth="true" hidden="false" outlineLevel="0" max="31" min="31" style="1" width="17.89"/>
    <col collapsed="false" customWidth="true" hidden="false" outlineLevel="0" max="32" min="32" style="1" width="17.56"/>
    <col collapsed="false" customWidth="true" hidden="false" outlineLevel="0" max="33" min="33" style="1" width="17"/>
    <col collapsed="false" customWidth="true" hidden="false" outlineLevel="0" max="34" min="34" style="1" width="14"/>
    <col collapsed="false" customWidth="true" hidden="false" outlineLevel="0" max="35" min="35" style="1" width="11.11"/>
    <col collapsed="false" customWidth="true" hidden="false" outlineLevel="0" max="36" min="36" style="1" width="12.11"/>
    <col collapsed="false" customWidth="true" hidden="false" outlineLevel="0" max="37" min="37" style="1" width="15"/>
    <col collapsed="false" customWidth="true" hidden="false" outlineLevel="0" max="38" min="38" style="1" width="9.88"/>
    <col collapsed="false" customWidth="true" hidden="false" outlineLevel="0" max="49" min="49" style="1" width="16"/>
    <col collapsed="false" customWidth="true" hidden="false" outlineLevel="0" max="50" min="50" style="1" width="19.89"/>
    <col collapsed="false" customWidth="true" hidden="false" outlineLevel="0" max="51" min="51" style="1" width="20.66"/>
  </cols>
  <sheetData>
    <row r="1" s="48" customFormat="true" ht="129" hidden="false" customHeight="false" outlineLevel="0" collapsed="false">
      <c r="A1" s="2" t="s">
        <v>10</v>
      </c>
      <c r="B1" s="2" t="s">
        <v>17</v>
      </c>
      <c r="C1" s="15" t="s">
        <v>19</v>
      </c>
      <c r="D1" s="15" t="s">
        <v>18</v>
      </c>
      <c r="E1" s="15" t="s">
        <v>20</v>
      </c>
      <c r="F1" s="11" t="s">
        <v>27</v>
      </c>
      <c r="G1" s="35" t="s">
        <v>110</v>
      </c>
      <c r="H1" s="36" t="s">
        <v>111</v>
      </c>
      <c r="I1" s="36" t="s">
        <v>112</v>
      </c>
      <c r="J1" s="2" t="s">
        <v>113</v>
      </c>
      <c r="K1" s="2" t="s">
        <v>114</v>
      </c>
      <c r="L1" s="37" t="s">
        <v>115</v>
      </c>
      <c r="M1" s="36" t="s">
        <v>116</v>
      </c>
      <c r="N1" s="36" t="s">
        <v>117</v>
      </c>
      <c r="O1" s="38" t="s">
        <v>118</v>
      </c>
      <c r="P1" s="38" t="s">
        <v>119</v>
      </c>
      <c r="Q1" s="38" t="s">
        <v>120</v>
      </c>
      <c r="R1" s="38" t="s">
        <v>121</v>
      </c>
      <c r="S1" s="39" t="s">
        <v>122</v>
      </c>
      <c r="T1" s="31" t="s">
        <v>123</v>
      </c>
      <c r="U1" s="31" t="s">
        <v>124</v>
      </c>
      <c r="V1" s="2" t="s">
        <v>125</v>
      </c>
      <c r="W1" s="2" t="s">
        <v>126</v>
      </c>
      <c r="X1" s="22" t="s">
        <v>127</v>
      </c>
      <c r="Y1" s="40" t="s">
        <v>128</v>
      </c>
      <c r="Z1" s="40" t="s">
        <v>129</v>
      </c>
      <c r="AA1" s="40" t="s">
        <v>130</v>
      </c>
      <c r="AB1" s="5" t="s">
        <v>131</v>
      </c>
      <c r="AC1" s="41" t="s">
        <v>132</v>
      </c>
      <c r="AD1" s="18" t="s">
        <v>133</v>
      </c>
      <c r="AE1" s="18" t="s">
        <v>134</v>
      </c>
      <c r="AF1" s="41" t="s">
        <v>135</v>
      </c>
      <c r="AG1" s="20" t="s">
        <v>136</v>
      </c>
      <c r="AH1" s="42" t="s">
        <v>137</v>
      </c>
      <c r="AI1" s="20" t="s">
        <v>138</v>
      </c>
      <c r="AJ1" s="42" t="s">
        <v>139</v>
      </c>
      <c r="AK1" s="43" t="s">
        <v>140</v>
      </c>
      <c r="AL1" s="44" t="s">
        <v>141</v>
      </c>
      <c r="AM1" s="44" t="s">
        <v>142</v>
      </c>
      <c r="AN1" s="44" t="s">
        <v>143</v>
      </c>
      <c r="AO1" s="45" t="s">
        <v>144</v>
      </c>
      <c r="AP1" s="45" t="s">
        <v>145</v>
      </c>
      <c r="AQ1" s="45" t="s">
        <v>146</v>
      </c>
      <c r="AR1" s="45" t="s">
        <v>147</v>
      </c>
      <c r="AS1" s="46" t="s">
        <v>148</v>
      </c>
      <c r="AT1" s="47" t="s">
        <v>149</v>
      </c>
      <c r="AU1" s="47" t="s">
        <v>150</v>
      </c>
      <c r="AV1" s="47" t="s">
        <v>151</v>
      </c>
      <c r="AW1" s="2" t="s">
        <v>14</v>
      </c>
      <c r="AX1" s="5" t="s">
        <v>29</v>
      </c>
      <c r="AY1" s="5" t="s">
        <v>152</v>
      </c>
      <c r="AZ1" s="2" t="s">
        <v>31</v>
      </c>
    </row>
    <row r="2" customFormat="false" ht="14.25" hidden="false" customHeight="false" outlineLevel="0" collapsed="false">
      <c r="A2" s="1" t="s">
        <v>15</v>
      </c>
      <c r="B2" s="1" t="s">
        <v>153</v>
      </c>
      <c r="C2" s="13" t="n">
        <v>45</v>
      </c>
      <c r="D2" s="13" t="n">
        <v>365</v>
      </c>
      <c r="E2" s="13" t="n">
        <v>0.02</v>
      </c>
      <c r="F2" s="49" t="s">
        <v>34</v>
      </c>
      <c r="G2" s="14" t="s">
        <v>154</v>
      </c>
      <c r="H2" s="50" t="n">
        <v>87</v>
      </c>
      <c r="I2" s="51" t="s">
        <v>155</v>
      </c>
      <c r="J2" s="1" t="n">
        <v>0.35</v>
      </c>
      <c r="K2" s="1" t="s">
        <v>156</v>
      </c>
      <c r="L2" s="50" t="s">
        <v>157</v>
      </c>
      <c r="M2" s="51" t="n">
        <v>0.95</v>
      </c>
      <c r="N2" s="51" t="n">
        <v>0.9</v>
      </c>
      <c r="O2" s="52" t="n">
        <v>0.9</v>
      </c>
      <c r="P2" s="52" t="n">
        <v>0.84</v>
      </c>
      <c r="Q2" s="52" t="n">
        <f aca="false">24*21</f>
        <v>504</v>
      </c>
      <c r="R2" s="52" t="n">
        <f aca="false">24*7*6</f>
        <v>1008</v>
      </c>
      <c r="S2" s="53" t="s">
        <v>158</v>
      </c>
      <c r="T2" s="33" t="n">
        <v>3</v>
      </c>
      <c r="U2" s="33" t="n">
        <v>0</v>
      </c>
      <c r="V2" s="1" t="n">
        <v>90</v>
      </c>
      <c r="W2" s="1" t="n">
        <v>162.9</v>
      </c>
      <c r="X2" s="26" t="n">
        <v>1</v>
      </c>
      <c r="Y2" s="26" t="n">
        <v>0</v>
      </c>
      <c r="Z2" s="26" t="n">
        <v>182.5</v>
      </c>
      <c r="AA2" s="26" t="n">
        <v>0.21635</v>
      </c>
      <c r="AB2" s="24" t="b">
        <f aca="false">TRUE()</f>
        <v>1</v>
      </c>
      <c r="AC2" s="25" t="n">
        <v>1</v>
      </c>
      <c r="AD2" s="25" t="n">
        <v>0</v>
      </c>
      <c r="AE2" s="25" t="n">
        <v>182.5</v>
      </c>
      <c r="AF2" s="25" t="n">
        <v>0.083141</v>
      </c>
      <c r="AG2" s="23" t="n">
        <v>1</v>
      </c>
      <c r="AH2" s="23" t="n">
        <v>0</v>
      </c>
      <c r="AI2" s="23" t="n">
        <v>182.5</v>
      </c>
      <c r="AJ2" s="23" t="n">
        <v>0.47816</v>
      </c>
      <c r="AK2" s="54" t="n">
        <v>1</v>
      </c>
      <c r="AL2" s="54" t="n">
        <v>0</v>
      </c>
      <c r="AM2" s="54" t="n">
        <v>121.6667</v>
      </c>
      <c r="AN2" s="54" t="n">
        <v>0.0026738</v>
      </c>
      <c r="AO2" s="55" t="n">
        <v>1</v>
      </c>
      <c r="AP2" s="55" t="n">
        <v>0</v>
      </c>
      <c r="AQ2" s="55" t="n">
        <v>182.5</v>
      </c>
      <c r="AR2" s="55" t="n">
        <v>0.11268</v>
      </c>
      <c r="AS2" s="56" t="n">
        <v>1</v>
      </c>
      <c r="AT2" s="56" t="n">
        <v>0</v>
      </c>
      <c r="AU2" s="56" t="n">
        <v>121.6667</v>
      </c>
      <c r="AV2" s="56" t="n">
        <v>0.0027855</v>
      </c>
      <c r="AW2" s="1" t="s">
        <v>159</v>
      </c>
      <c r="AX2" s="1" t="s">
        <v>36</v>
      </c>
      <c r="AY2" s="1" t="s">
        <v>36</v>
      </c>
      <c r="AZ2" s="1" t="s">
        <v>160</v>
      </c>
    </row>
    <row r="3" customFormat="false" ht="14.25" hidden="false" customHeight="false" outlineLevel="0" collapsed="false">
      <c r="A3" s="1" t="s">
        <v>15</v>
      </c>
      <c r="B3" s="1" t="s">
        <v>161</v>
      </c>
      <c r="C3" s="13" t="n">
        <v>45</v>
      </c>
      <c r="D3" s="13" t="n">
        <v>365</v>
      </c>
      <c r="E3" s="13" t="n">
        <v>0.02</v>
      </c>
      <c r="F3" s="49" t="s">
        <v>34</v>
      </c>
      <c r="G3" s="14" t="s">
        <v>154</v>
      </c>
      <c r="H3" s="50" t="n">
        <v>87.1</v>
      </c>
      <c r="I3" s="51" t="s">
        <v>155</v>
      </c>
      <c r="J3" s="1" t="n">
        <v>0.35</v>
      </c>
      <c r="K3" s="1" t="s">
        <v>156</v>
      </c>
      <c r="L3" s="50" t="s">
        <v>157</v>
      </c>
      <c r="M3" s="51" t="n">
        <v>0.95</v>
      </c>
      <c r="N3" s="51" t="n">
        <v>0.9</v>
      </c>
      <c r="O3" s="52" t="n">
        <v>0.9</v>
      </c>
      <c r="P3" s="52" t="n">
        <v>0.84</v>
      </c>
      <c r="Q3" s="52" t="n">
        <f aca="false">24*21</f>
        <v>504</v>
      </c>
      <c r="R3" s="52" t="n">
        <f aca="false">24*7*6</f>
        <v>1008</v>
      </c>
      <c r="S3" s="53" t="s">
        <v>158</v>
      </c>
      <c r="T3" s="33" t="n">
        <v>3</v>
      </c>
      <c r="U3" s="33" t="n">
        <v>0</v>
      </c>
      <c r="V3" s="1" t="n">
        <v>90</v>
      </c>
      <c r="W3" s="1" t="n">
        <v>162.9</v>
      </c>
      <c r="X3" s="26" t="n">
        <v>1</v>
      </c>
      <c r="Y3" s="26" t="n">
        <v>0</v>
      </c>
      <c r="Z3" s="26" t="n">
        <v>182.5</v>
      </c>
      <c r="AA3" s="26" t="n">
        <v>0.21635</v>
      </c>
      <c r="AB3" s="24" t="b">
        <f aca="false">TRUE()</f>
        <v>1</v>
      </c>
      <c r="AC3" s="25" t="n">
        <v>1</v>
      </c>
      <c r="AD3" s="25" t="n">
        <v>0</v>
      </c>
      <c r="AE3" s="25" t="n">
        <v>182.5</v>
      </c>
      <c r="AF3" s="25" t="n">
        <v>0.083141</v>
      </c>
      <c r="AG3" s="23" t="n">
        <v>1</v>
      </c>
      <c r="AH3" s="23" t="n">
        <v>0</v>
      </c>
      <c r="AI3" s="23" t="n">
        <v>182.5</v>
      </c>
      <c r="AJ3" s="23" t="n">
        <v>0.47816</v>
      </c>
      <c r="AK3" s="54" t="n">
        <v>1</v>
      </c>
      <c r="AL3" s="54" t="n">
        <v>0</v>
      </c>
      <c r="AM3" s="54" t="n">
        <v>121.6667</v>
      </c>
      <c r="AN3" s="54" t="n">
        <v>0.0026738</v>
      </c>
      <c r="AO3" s="55" t="n">
        <v>1</v>
      </c>
      <c r="AP3" s="55" t="n">
        <v>0</v>
      </c>
      <c r="AQ3" s="55" t="n">
        <v>182.5</v>
      </c>
      <c r="AR3" s="55" t="n">
        <v>0.11268</v>
      </c>
      <c r="AS3" s="56" t="n">
        <v>1</v>
      </c>
      <c r="AT3" s="56" t="n">
        <v>0</v>
      </c>
      <c r="AU3" s="56" t="n">
        <v>121.6667</v>
      </c>
      <c r="AV3" s="56" t="n">
        <v>0.0027855</v>
      </c>
      <c r="AW3" s="1" t="s">
        <v>159</v>
      </c>
      <c r="AX3" s="1" t="s">
        <v>36</v>
      </c>
      <c r="AY3" s="1" t="s">
        <v>36</v>
      </c>
      <c r="AZ3" s="1" t="s">
        <v>160</v>
      </c>
    </row>
    <row r="4" customFormat="false" ht="14.25" hidden="false" customHeight="false" outlineLevel="0" collapsed="false">
      <c r="A4" s="1" t="s">
        <v>15</v>
      </c>
      <c r="B4" s="1" t="s">
        <v>162</v>
      </c>
      <c r="C4" s="13" t="n">
        <v>45</v>
      </c>
      <c r="D4" s="13" t="n">
        <v>365</v>
      </c>
      <c r="E4" s="13" t="n">
        <v>0.02</v>
      </c>
      <c r="F4" s="49" t="s">
        <v>34</v>
      </c>
      <c r="G4" s="14" t="s">
        <v>154</v>
      </c>
      <c r="H4" s="50" t="n">
        <v>276</v>
      </c>
      <c r="I4" s="51" t="s">
        <v>155</v>
      </c>
      <c r="J4" s="1" t="n">
        <v>0.35</v>
      </c>
      <c r="K4" s="1" t="s">
        <v>156</v>
      </c>
      <c r="L4" s="50" t="s">
        <v>157</v>
      </c>
      <c r="M4" s="51" t="n">
        <v>0.95</v>
      </c>
      <c r="N4" s="51" t="n">
        <v>0.9</v>
      </c>
      <c r="O4" s="52" t="n">
        <v>0.9</v>
      </c>
      <c r="P4" s="52" t="n">
        <v>0.84</v>
      </c>
      <c r="Q4" s="52" t="n">
        <f aca="false">24*21</f>
        <v>504</v>
      </c>
      <c r="R4" s="52" t="n">
        <f aca="false">24*7*6</f>
        <v>1008</v>
      </c>
      <c r="S4" s="53" t="s">
        <v>158</v>
      </c>
      <c r="T4" s="33" t="n">
        <v>3</v>
      </c>
      <c r="U4" s="33" t="n">
        <v>0</v>
      </c>
      <c r="V4" s="1" t="n">
        <v>90</v>
      </c>
      <c r="W4" s="1" t="n">
        <v>162.9</v>
      </c>
      <c r="X4" s="26" t="n">
        <v>1</v>
      </c>
      <c r="Y4" s="26" t="n">
        <v>0</v>
      </c>
      <c r="Z4" s="26" t="n">
        <v>182.5</v>
      </c>
      <c r="AA4" s="26" t="n">
        <v>0.21635</v>
      </c>
      <c r="AB4" s="24" t="b">
        <f aca="false">TRUE()</f>
        <v>1</v>
      </c>
      <c r="AC4" s="25" t="n">
        <v>1</v>
      </c>
      <c r="AD4" s="25" t="n">
        <v>0</v>
      </c>
      <c r="AE4" s="25" t="n">
        <v>182.5</v>
      </c>
      <c r="AF4" s="25" t="n">
        <v>0.083141</v>
      </c>
      <c r="AG4" s="23" t="n">
        <v>1</v>
      </c>
      <c r="AH4" s="23" t="n">
        <v>0</v>
      </c>
      <c r="AI4" s="23" t="n">
        <v>182.5</v>
      </c>
      <c r="AJ4" s="23" t="n">
        <v>0.47816</v>
      </c>
      <c r="AK4" s="54" t="n">
        <v>1</v>
      </c>
      <c r="AL4" s="54" t="n">
        <v>0</v>
      </c>
      <c r="AM4" s="54" t="n">
        <v>121.6667</v>
      </c>
      <c r="AN4" s="54" t="n">
        <v>0.0026738</v>
      </c>
      <c r="AO4" s="55" t="n">
        <v>1</v>
      </c>
      <c r="AP4" s="55" t="n">
        <v>0</v>
      </c>
      <c r="AQ4" s="55" t="n">
        <v>182.5</v>
      </c>
      <c r="AR4" s="55" t="n">
        <v>0.11268</v>
      </c>
      <c r="AS4" s="56" t="n">
        <v>1</v>
      </c>
      <c r="AT4" s="56" t="n">
        <v>0</v>
      </c>
      <c r="AU4" s="56" t="n">
        <v>121.6667</v>
      </c>
      <c r="AV4" s="56" t="n">
        <v>0.0027855</v>
      </c>
      <c r="AW4" s="1" t="s">
        <v>159</v>
      </c>
      <c r="AX4" s="1" t="s">
        <v>36</v>
      </c>
      <c r="AY4" s="1" t="s">
        <v>36</v>
      </c>
      <c r="AZ4" s="1" t="s">
        <v>160</v>
      </c>
    </row>
    <row r="5" customFormat="false" ht="14.25" hidden="false" customHeight="false" outlineLevel="0" collapsed="false">
      <c r="A5" s="1" t="s">
        <v>15</v>
      </c>
      <c r="B5" s="1" t="s">
        <v>163</v>
      </c>
      <c r="C5" s="13" t="n">
        <v>45</v>
      </c>
      <c r="D5" s="13" t="n">
        <v>365</v>
      </c>
      <c r="E5" s="13" t="n">
        <v>0.02</v>
      </c>
      <c r="F5" s="49" t="s">
        <v>34</v>
      </c>
      <c r="G5" s="14" t="s">
        <v>154</v>
      </c>
      <c r="H5" s="50" t="n">
        <v>276</v>
      </c>
      <c r="I5" s="51" t="s">
        <v>155</v>
      </c>
      <c r="J5" s="1" t="n">
        <v>0.35</v>
      </c>
      <c r="K5" s="1" t="s">
        <v>156</v>
      </c>
      <c r="L5" s="50" t="s">
        <v>157</v>
      </c>
      <c r="M5" s="51" t="n">
        <v>0.95</v>
      </c>
      <c r="N5" s="51" t="n">
        <v>0.9</v>
      </c>
      <c r="O5" s="52" t="n">
        <v>0.9</v>
      </c>
      <c r="P5" s="52" t="n">
        <v>0.84</v>
      </c>
      <c r="Q5" s="52" t="n">
        <f aca="false">24*21</f>
        <v>504</v>
      </c>
      <c r="R5" s="52" t="n">
        <f aca="false">24*7*6</f>
        <v>1008</v>
      </c>
      <c r="S5" s="53" t="s">
        <v>158</v>
      </c>
      <c r="T5" s="33" t="n">
        <v>3</v>
      </c>
      <c r="U5" s="33" t="n">
        <v>0</v>
      </c>
      <c r="V5" s="1" t="n">
        <v>90</v>
      </c>
      <c r="W5" s="1" t="n">
        <v>162.9</v>
      </c>
      <c r="X5" s="26" t="n">
        <v>1</v>
      </c>
      <c r="Y5" s="26" t="n">
        <v>0</v>
      </c>
      <c r="Z5" s="26" t="n">
        <v>182.5</v>
      </c>
      <c r="AA5" s="26" t="n">
        <v>0.21635</v>
      </c>
      <c r="AB5" s="24" t="b">
        <f aca="false">TRUE()</f>
        <v>1</v>
      </c>
      <c r="AC5" s="25" t="n">
        <v>1</v>
      </c>
      <c r="AD5" s="25" t="n">
        <v>0</v>
      </c>
      <c r="AE5" s="25" t="n">
        <v>182.5</v>
      </c>
      <c r="AF5" s="25" t="n">
        <v>0.083141</v>
      </c>
      <c r="AG5" s="23" t="n">
        <v>1</v>
      </c>
      <c r="AH5" s="23" t="n">
        <v>0</v>
      </c>
      <c r="AI5" s="23" t="n">
        <v>182.5</v>
      </c>
      <c r="AJ5" s="23" t="n">
        <v>0.47816</v>
      </c>
      <c r="AK5" s="54" t="n">
        <v>1</v>
      </c>
      <c r="AL5" s="54" t="n">
        <v>0</v>
      </c>
      <c r="AM5" s="54" t="n">
        <v>121.6667</v>
      </c>
      <c r="AN5" s="54" t="n">
        <v>0.0026738</v>
      </c>
      <c r="AO5" s="55" t="n">
        <v>1</v>
      </c>
      <c r="AP5" s="55" t="n">
        <v>0</v>
      </c>
      <c r="AQ5" s="55" t="n">
        <v>182.5</v>
      </c>
      <c r="AR5" s="55" t="n">
        <v>0.11268</v>
      </c>
      <c r="AS5" s="56" t="n">
        <v>1</v>
      </c>
      <c r="AT5" s="56" t="n">
        <v>0</v>
      </c>
      <c r="AU5" s="56" t="n">
        <v>121.6667</v>
      </c>
      <c r="AV5" s="56" t="n">
        <v>0.0027855</v>
      </c>
      <c r="AW5" s="1" t="s">
        <v>159</v>
      </c>
      <c r="AX5" s="1" t="s">
        <v>36</v>
      </c>
      <c r="AY5" s="1" t="s">
        <v>36</v>
      </c>
      <c r="AZ5" s="1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5" activeCellId="1" sqref="R2:R8 G15"/>
    </sheetView>
  </sheetViews>
  <sheetFormatPr defaultColWidth="8.5390625" defaultRowHeight="14.25" zeroHeight="false" outlineLevelRow="0" outlineLevelCol="0"/>
  <cols>
    <col collapsed="false" customWidth="true" hidden="false" outlineLevel="0" max="4" min="4" style="1" width="12.33"/>
    <col collapsed="false" customWidth="true" hidden="false" outlineLevel="0" max="6" min="6" style="1" width="10.33"/>
    <col collapsed="false" customWidth="true" hidden="false" outlineLevel="0" max="9" min="9" style="1" width="11.89"/>
    <col collapsed="false" customWidth="true" hidden="false" outlineLevel="0" max="13" min="13" style="1" width="11.33"/>
    <col collapsed="false" customWidth="true" hidden="false" outlineLevel="0" max="16" min="16" style="1" width="11.33"/>
    <col collapsed="false" customWidth="true" hidden="false" outlineLevel="0" max="18" min="18" style="1" width="19.33"/>
    <col collapsed="false" customWidth="true" hidden="false" outlineLevel="0" max="19" min="19" style="1" width="9.88"/>
  </cols>
  <sheetData>
    <row r="1" customFormat="false" ht="72" hidden="false" customHeight="false" outlineLevel="0" collapsed="false">
      <c r="A1" s="9" t="s">
        <v>10</v>
      </c>
      <c r="B1" s="9" t="s">
        <v>17</v>
      </c>
      <c r="C1" s="10" t="s">
        <v>19</v>
      </c>
      <c r="D1" s="10" t="s">
        <v>18</v>
      </c>
      <c r="E1" s="10" t="s">
        <v>20</v>
      </c>
      <c r="F1" s="9" t="s">
        <v>164</v>
      </c>
      <c r="G1" s="9" t="s">
        <v>165</v>
      </c>
      <c r="H1" s="9" t="s">
        <v>166</v>
      </c>
      <c r="I1" s="9" t="s">
        <v>167</v>
      </c>
      <c r="J1" s="9" t="s">
        <v>168</v>
      </c>
      <c r="K1" s="9" t="s">
        <v>169</v>
      </c>
      <c r="L1" s="9" t="s">
        <v>170</v>
      </c>
      <c r="M1" s="9" t="s">
        <v>171</v>
      </c>
      <c r="N1" s="9" t="s">
        <v>172</v>
      </c>
      <c r="O1" s="9" t="s">
        <v>173</v>
      </c>
      <c r="P1" s="9" t="s">
        <v>174</v>
      </c>
      <c r="Q1" s="9" t="s">
        <v>14</v>
      </c>
      <c r="R1" s="9" t="s">
        <v>29</v>
      </c>
      <c r="S1" s="9" t="s">
        <v>31</v>
      </c>
    </row>
    <row r="2" customFormat="false" ht="14.25" hidden="false" customHeight="false" outlineLevel="0" collapsed="false">
      <c r="A2" s="1" t="s">
        <v>15</v>
      </c>
      <c r="B2" s="1" t="s">
        <v>175</v>
      </c>
      <c r="C2" s="13" t="n">
        <v>45</v>
      </c>
      <c r="D2" s="13" t="n">
        <v>365</v>
      </c>
      <c r="E2" s="13" t="n">
        <v>0.0375</v>
      </c>
      <c r="F2" s="1" t="n">
        <v>0.75</v>
      </c>
      <c r="G2" s="1" t="n">
        <v>1</v>
      </c>
      <c r="H2" s="1" t="n">
        <v>7</v>
      </c>
      <c r="I2" s="1" t="n">
        <v>0.9</v>
      </c>
      <c r="J2" s="1" t="n">
        <v>0.25</v>
      </c>
      <c r="K2" s="1" t="n">
        <v>0.08333333</v>
      </c>
      <c r="L2" s="1" t="n">
        <v>2</v>
      </c>
      <c r="M2" s="1" t="n">
        <v>0</v>
      </c>
      <c r="N2" s="1" t="n">
        <v>90</v>
      </c>
      <c r="O2" s="1" t="n">
        <v>360</v>
      </c>
      <c r="P2" s="1" t="n">
        <v>0.98</v>
      </c>
      <c r="Q2" s="1" t="s">
        <v>176</v>
      </c>
      <c r="R2" s="1" t="s">
        <v>36</v>
      </c>
      <c r="S2" s="1" t="s">
        <v>177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73" activeCellId="1" sqref="R2:R8 K73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0.89"/>
    <col collapsed="false" customWidth="true" hidden="false" outlineLevel="0" max="2" min="2" style="1" width="15.44"/>
    <col collapsed="false" customWidth="true" hidden="false" outlineLevel="0" max="3" min="3" style="1" width="19.89"/>
    <col collapsed="false" customWidth="true" hidden="false" outlineLevel="0" max="4" min="4" style="1" width="13.89"/>
    <col collapsed="false" customWidth="true" hidden="false" outlineLevel="0" max="5" min="5" style="1" width="19.89"/>
    <col collapsed="false" customWidth="true" hidden="false" outlineLevel="0" max="6" min="6" style="1" width="16.33"/>
    <col collapsed="false" customWidth="true" hidden="false" outlineLevel="0" max="7" min="7" style="1" width="16.89"/>
  </cols>
  <sheetData>
    <row r="1" customFormat="false" ht="14.25" hidden="false" customHeight="false" outlineLevel="0" collapsed="false">
      <c r="A1" s="57" t="s">
        <v>14</v>
      </c>
      <c r="B1" s="57" t="s">
        <v>178</v>
      </c>
      <c r="C1" s="57" t="s">
        <v>179</v>
      </c>
      <c r="D1" s="57" t="s">
        <v>180</v>
      </c>
      <c r="E1" s="57" t="s">
        <v>181</v>
      </c>
      <c r="F1" s="58" t="s">
        <v>182</v>
      </c>
      <c r="G1" s="58" t="s">
        <v>183</v>
      </c>
    </row>
    <row r="2" customFormat="false" ht="14.25" hidden="false" customHeight="false" outlineLevel="0" collapsed="false">
      <c r="A2" s="1" t="s">
        <v>184</v>
      </c>
      <c r="B2" s="1" t="s">
        <v>15</v>
      </c>
      <c r="C2" s="1" t="s">
        <v>33</v>
      </c>
      <c r="D2" s="1" t="s">
        <v>15</v>
      </c>
      <c r="E2" s="1" t="s">
        <v>51</v>
      </c>
      <c r="F2" s="1" t="s">
        <v>109</v>
      </c>
      <c r="G2" s="59"/>
    </row>
    <row r="3" customFormat="false" ht="14.25" hidden="false" customHeight="false" outlineLevel="0" collapsed="false">
      <c r="A3" s="1" t="s">
        <v>184</v>
      </c>
      <c r="B3" s="1" t="s">
        <v>15</v>
      </c>
      <c r="C3" s="1" t="s">
        <v>38</v>
      </c>
      <c r="D3" s="1" t="s">
        <v>15</v>
      </c>
      <c r="E3" s="1" t="s">
        <v>57</v>
      </c>
      <c r="F3" s="1" t="s">
        <v>109</v>
      </c>
    </row>
    <row r="4" customFormat="false" ht="14.25" hidden="false" customHeight="false" outlineLevel="0" collapsed="false">
      <c r="A4" s="1" t="s">
        <v>184</v>
      </c>
      <c r="B4" s="1" t="s">
        <v>15</v>
      </c>
      <c r="C4" s="1" t="s">
        <v>39</v>
      </c>
      <c r="D4" s="1" t="s">
        <v>15</v>
      </c>
      <c r="E4" s="1" t="s">
        <v>58</v>
      </c>
      <c r="F4" s="1" t="s">
        <v>109</v>
      </c>
    </row>
    <row r="5" customFormat="false" ht="14.25" hidden="false" customHeight="false" outlineLevel="0" collapsed="false">
      <c r="A5" s="1" t="s">
        <v>184</v>
      </c>
      <c r="B5" s="1" t="s">
        <v>15</v>
      </c>
      <c r="C5" s="1" t="s">
        <v>40</v>
      </c>
      <c r="D5" s="1" t="s">
        <v>15</v>
      </c>
      <c r="E5" s="1" t="s">
        <v>59</v>
      </c>
      <c r="F5" s="1" t="s">
        <v>109</v>
      </c>
    </row>
    <row r="6" customFormat="false" ht="14.25" hidden="false" customHeight="false" outlineLevel="0" collapsed="false">
      <c r="A6" s="1" t="s">
        <v>184</v>
      </c>
      <c r="B6" s="1" t="s">
        <v>15</v>
      </c>
      <c r="C6" s="1" t="s">
        <v>41</v>
      </c>
      <c r="D6" s="1" t="s">
        <v>15</v>
      </c>
      <c r="E6" s="1" t="s">
        <v>60</v>
      </c>
      <c r="F6" s="1" t="s">
        <v>109</v>
      </c>
    </row>
    <row r="7" customFormat="false" ht="14.25" hidden="false" customHeight="false" outlineLevel="0" collapsed="false">
      <c r="A7" s="1" t="s">
        <v>184</v>
      </c>
      <c r="B7" s="1" t="s">
        <v>15</v>
      </c>
      <c r="C7" s="1" t="s">
        <v>42</v>
      </c>
      <c r="D7" s="1" t="s">
        <v>15</v>
      </c>
      <c r="E7" s="1" t="s">
        <v>61</v>
      </c>
      <c r="F7" s="1" t="s">
        <v>109</v>
      </c>
    </row>
    <row r="8" customFormat="false" ht="14.25" hidden="false" customHeight="false" outlineLevel="0" collapsed="false">
      <c r="A8" s="1" t="s">
        <v>184</v>
      </c>
      <c r="B8" s="1" t="s">
        <v>15</v>
      </c>
      <c r="C8" s="1" t="s">
        <v>43</v>
      </c>
      <c r="D8" s="1" t="s">
        <v>15</v>
      </c>
      <c r="E8" s="1" t="s">
        <v>62</v>
      </c>
      <c r="F8" s="1" t="s">
        <v>109</v>
      </c>
    </row>
    <row r="9" customFormat="false" ht="14.25" hidden="false" customHeight="false" outlineLevel="0" collapsed="false">
      <c r="A9" s="1" t="s">
        <v>184</v>
      </c>
      <c r="B9" s="1" t="s">
        <v>15</v>
      </c>
      <c r="C9" s="1" t="s">
        <v>33</v>
      </c>
      <c r="D9" s="1" t="s">
        <v>15</v>
      </c>
      <c r="E9" s="1" t="s">
        <v>51</v>
      </c>
      <c r="F9" s="1" t="s">
        <v>105</v>
      </c>
    </row>
    <row r="10" customFormat="false" ht="14.25" hidden="false" customHeight="false" outlineLevel="0" collapsed="false">
      <c r="A10" s="1" t="s">
        <v>184</v>
      </c>
      <c r="B10" s="1" t="s">
        <v>15</v>
      </c>
      <c r="C10" s="1" t="s">
        <v>38</v>
      </c>
      <c r="D10" s="1" t="s">
        <v>15</v>
      </c>
      <c r="E10" s="1" t="s">
        <v>57</v>
      </c>
      <c r="F10" s="1" t="s">
        <v>105</v>
      </c>
    </row>
    <row r="11" customFormat="false" ht="14.25" hidden="false" customHeight="false" outlineLevel="0" collapsed="false">
      <c r="A11" s="1" t="s">
        <v>184</v>
      </c>
      <c r="B11" s="1" t="s">
        <v>15</v>
      </c>
      <c r="C11" s="1" t="s">
        <v>39</v>
      </c>
      <c r="D11" s="1" t="s">
        <v>15</v>
      </c>
      <c r="E11" s="1" t="s">
        <v>58</v>
      </c>
      <c r="F11" s="1" t="s">
        <v>105</v>
      </c>
    </row>
    <row r="12" customFormat="false" ht="14.25" hidden="false" customHeight="false" outlineLevel="0" collapsed="false">
      <c r="A12" s="1" t="s">
        <v>184</v>
      </c>
      <c r="B12" s="1" t="s">
        <v>15</v>
      </c>
      <c r="C12" s="1" t="s">
        <v>40</v>
      </c>
      <c r="D12" s="1" t="s">
        <v>15</v>
      </c>
      <c r="E12" s="1" t="s">
        <v>59</v>
      </c>
      <c r="F12" s="1" t="s">
        <v>105</v>
      </c>
    </row>
    <row r="13" customFormat="false" ht="14.25" hidden="false" customHeight="false" outlineLevel="0" collapsed="false">
      <c r="A13" s="1" t="s">
        <v>184</v>
      </c>
      <c r="B13" s="1" t="s">
        <v>15</v>
      </c>
      <c r="C13" s="1" t="s">
        <v>41</v>
      </c>
      <c r="D13" s="1" t="s">
        <v>15</v>
      </c>
      <c r="E13" s="1" t="s">
        <v>60</v>
      </c>
      <c r="F13" s="1" t="s">
        <v>105</v>
      </c>
    </row>
    <row r="14" customFormat="false" ht="14.25" hidden="false" customHeight="false" outlineLevel="0" collapsed="false">
      <c r="A14" s="1" t="s">
        <v>184</v>
      </c>
      <c r="B14" s="1" t="s">
        <v>15</v>
      </c>
      <c r="C14" s="1" t="s">
        <v>42</v>
      </c>
      <c r="D14" s="1" t="s">
        <v>15</v>
      </c>
      <c r="E14" s="1" t="s">
        <v>61</v>
      </c>
      <c r="F14" s="1" t="s">
        <v>105</v>
      </c>
    </row>
    <row r="15" customFormat="false" ht="14.25" hidden="false" customHeight="false" outlineLevel="0" collapsed="false">
      <c r="A15" s="1" t="s">
        <v>184</v>
      </c>
      <c r="B15" s="1" t="s">
        <v>15</v>
      </c>
      <c r="C15" s="1" t="s">
        <v>43</v>
      </c>
      <c r="D15" s="1" t="s">
        <v>15</v>
      </c>
      <c r="E15" s="1" t="s">
        <v>62</v>
      </c>
      <c r="F15" s="1" t="s">
        <v>105</v>
      </c>
    </row>
    <row r="17" customFormat="false" ht="14.25" hidden="false" customHeight="false" outlineLevel="0" collapsed="false">
      <c r="A17" s="1" t="s">
        <v>184</v>
      </c>
      <c r="B17" s="1" t="s">
        <v>15</v>
      </c>
      <c r="C17" s="1" t="s">
        <v>51</v>
      </c>
      <c r="D17" s="1" t="s">
        <v>15</v>
      </c>
      <c r="E17" s="1" t="s">
        <v>63</v>
      </c>
      <c r="F17" s="1" t="s">
        <v>109</v>
      </c>
      <c r="G17" s="1" t="s">
        <v>185</v>
      </c>
    </row>
    <row r="18" customFormat="false" ht="14.25" hidden="false" customHeight="false" outlineLevel="0" collapsed="false">
      <c r="A18" s="1" t="s">
        <v>184</v>
      </c>
      <c r="B18" s="1" t="s">
        <v>15</v>
      </c>
      <c r="C18" s="1" t="s">
        <v>51</v>
      </c>
      <c r="D18" s="1" t="s">
        <v>15</v>
      </c>
      <c r="E18" s="1" t="s">
        <v>63</v>
      </c>
      <c r="F18" s="1" t="s">
        <v>105</v>
      </c>
      <c r="G18" s="1" t="s">
        <v>186</v>
      </c>
    </row>
    <row r="19" customFormat="false" ht="14.25" hidden="false" customHeight="false" outlineLevel="0" collapsed="false">
      <c r="A19" s="1" t="s">
        <v>184</v>
      </c>
      <c r="B19" s="1" t="s">
        <v>15</v>
      </c>
      <c r="C19" s="1" t="s">
        <v>51</v>
      </c>
      <c r="D19" s="1" t="s">
        <v>15</v>
      </c>
      <c r="E19" s="1" t="s">
        <v>63</v>
      </c>
      <c r="F19" s="1" t="s">
        <v>187</v>
      </c>
      <c r="G19" s="1" t="s">
        <v>188</v>
      </c>
    </row>
    <row r="20" customFormat="false" ht="14.25" hidden="false" customHeight="false" outlineLevel="0" collapsed="false">
      <c r="A20" s="1" t="s">
        <v>184</v>
      </c>
      <c r="B20" s="1" t="s">
        <v>15</v>
      </c>
      <c r="C20" s="1" t="s">
        <v>51</v>
      </c>
      <c r="D20" s="1" t="s">
        <v>15</v>
      </c>
      <c r="E20" s="1" t="s">
        <v>63</v>
      </c>
      <c r="F20" s="1" t="s">
        <v>187</v>
      </c>
      <c r="G20" s="1" t="s">
        <v>189</v>
      </c>
    </row>
    <row r="21" customFormat="false" ht="14.25" hidden="false" customHeight="false" outlineLevel="0" collapsed="false">
      <c r="A21" s="1" t="s">
        <v>184</v>
      </c>
      <c r="B21" s="1" t="s">
        <v>15</v>
      </c>
      <c r="C21" s="1" t="s">
        <v>57</v>
      </c>
      <c r="D21" s="1" t="s">
        <v>15</v>
      </c>
      <c r="E21" s="1" t="s">
        <v>65</v>
      </c>
      <c r="F21" s="1" t="s">
        <v>109</v>
      </c>
      <c r="G21" s="1" t="s">
        <v>185</v>
      </c>
    </row>
    <row r="22" customFormat="false" ht="15" hidden="false" customHeight="true" outlineLevel="0" collapsed="false">
      <c r="A22" s="1" t="s">
        <v>184</v>
      </c>
      <c r="B22" s="1" t="s">
        <v>15</v>
      </c>
      <c r="C22" s="1" t="s">
        <v>57</v>
      </c>
      <c r="D22" s="1" t="s">
        <v>15</v>
      </c>
      <c r="E22" s="1" t="s">
        <v>65</v>
      </c>
      <c r="F22" s="1" t="s">
        <v>105</v>
      </c>
      <c r="G22" s="1" t="s">
        <v>186</v>
      </c>
    </row>
    <row r="23" customFormat="false" ht="14.25" hidden="false" customHeight="false" outlineLevel="0" collapsed="false">
      <c r="A23" s="1" t="s">
        <v>184</v>
      </c>
      <c r="B23" s="1" t="s">
        <v>15</v>
      </c>
      <c r="C23" s="1" t="s">
        <v>57</v>
      </c>
      <c r="D23" s="1" t="s">
        <v>15</v>
      </c>
      <c r="E23" s="1" t="s">
        <v>65</v>
      </c>
      <c r="F23" s="1" t="s">
        <v>187</v>
      </c>
      <c r="G23" s="1" t="s">
        <v>188</v>
      </c>
    </row>
    <row r="24" customFormat="false" ht="14.25" hidden="false" customHeight="false" outlineLevel="0" collapsed="false">
      <c r="A24" s="1" t="s">
        <v>184</v>
      </c>
      <c r="B24" s="1" t="s">
        <v>15</v>
      </c>
      <c r="C24" s="1" t="s">
        <v>57</v>
      </c>
      <c r="D24" s="1" t="s">
        <v>15</v>
      </c>
      <c r="E24" s="1" t="s">
        <v>65</v>
      </c>
      <c r="F24" s="1" t="s">
        <v>187</v>
      </c>
      <c r="G24" s="1" t="s">
        <v>189</v>
      </c>
    </row>
    <row r="25" customFormat="false" ht="14.25" hidden="false" customHeight="false" outlineLevel="0" collapsed="false">
      <c r="A25" s="1" t="s">
        <v>184</v>
      </c>
      <c r="B25" s="1" t="s">
        <v>15</v>
      </c>
      <c r="C25" s="1" t="s">
        <v>58</v>
      </c>
      <c r="D25" s="1" t="s">
        <v>15</v>
      </c>
      <c r="E25" s="1" t="s">
        <v>66</v>
      </c>
      <c r="F25" s="1" t="s">
        <v>109</v>
      </c>
      <c r="G25" s="1" t="s">
        <v>185</v>
      </c>
    </row>
    <row r="26" customFormat="false" ht="14.25" hidden="false" customHeight="false" outlineLevel="0" collapsed="false">
      <c r="A26" s="1" t="s">
        <v>184</v>
      </c>
      <c r="B26" s="1" t="s">
        <v>15</v>
      </c>
      <c r="C26" s="1" t="s">
        <v>58</v>
      </c>
      <c r="D26" s="1" t="s">
        <v>15</v>
      </c>
      <c r="E26" s="1" t="s">
        <v>66</v>
      </c>
      <c r="F26" s="1" t="s">
        <v>105</v>
      </c>
      <c r="G26" s="1" t="s">
        <v>186</v>
      </c>
    </row>
    <row r="27" customFormat="false" ht="14.25" hidden="false" customHeight="false" outlineLevel="0" collapsed="false">
      <c r="A27" s="1" t="s">
        <v>184</v>
      </c>
      <c r="B27" s="1" t="s">
        <v>15</v>
      </c>
      <c r="C27" s="1" t="s">
        <v>58</v>
      </c>
      <c r="D27" s="1" t="s">
        <v>15</v>
      </c>
      <c r="E27" s="1" t="s">
        <v>66</v>
      </c>
      <c r="F27" s="1" t="s">
        <v>187</v>
      </c>
      <c r="G27" s="1" t="s">
        <v>188</v>
      </c>
    </row>
    <row r="28" customFormat="false" ht="14.25" hidden="false" customHeight="false" outlineLevel="0" collapsed="false">
      <c r="A28" s="1" t="s">
        <v>184</v>
      </c>
      <c r="B28" s="1" t="s">
        <v>15</v>
      </c>
      <c r="C28" s="1" t="s">
        <v>58</v>
      </c>
      <c r="D28" s="1" t="s">
        <v>15</v>
      </c>
      <c r="E28" s="1" t="s">
        <v>66</v>
      </c>
      <c r="F28" s="1" t="s">
        <v>187</v>
      </c>
      <c r="G28" s="1" t="s">
        <v>189</v>
      </c>
    </row>
    <row r="29" customFormat="false" ht="14.25" hidden="false" customHeight="false" outlineLevel="0" collapsed="false">
      <c r="A29" s="1" t="s">
        <v>184</v>
      </c>
      <c r="B29" s="1" t="s">
        <v>15</v>
      </c>
      <c r="C29" s="1" t="s">
        <v>59</v>
      </c>
      <c r="D29" s="1" t="s">
        <v>15</v>
      </c>
      <c r="E29" s="1" t="s">
        <v>67</v>
      </c>
      <c r="F29" s="1" t="s">
        <v>109</v>
      </c>
      <c r="G29" s="1" t="s">
        <v>185</v>
      </c>
    </row>
    <row r="30" customFormat="false" ht="14.25" hidden="false" customHeight="false" outlineLevel="0" collapsed="false">
      <c r="A30" s="1" t="s">
        <v>184</v>
      </c>
      <c r="B30" s="1" t="s">
        <v>15</v>
      </c>
      <c r="C30" s="1" t="s">
        <v>59</v>
      </c>
      <c r="D30" s="1" t="s">
        <v>15</v>
      </c>
      <c r="E30" s="1" t="s">
        <v>67</v>
      </c>
      <c r="F30" s="1" t="s">
        <v>105</v>
      </c>
      <c r="G30" s="1" t="s">
        <v>186</v>
      </c>
    </row>
    <row r="31" customFormat="false" ht="14.25" hidden="false" customHeight="false" outlineLevel="0" collapsed="false">
      <c r="A31" s="1" t="s">
        <v>184</v>
      </c>
      <c r="B31" s="1" t="s">
        <v>15</v>
      </c>
      <c r="C31" s="1" t="s">
        <v>59</v>
      </c>
      <c r="D31" s="1" t="s">
        <v>15</v>
      </c>
      <c r="E31" s="1" t="s">
        <v>67</v>
      </c>
      <c r="F31" s="1" t="s">
        <v>187</v>
      </c>
      <c r="G31" s="1" t="s">
        <v>188</v>
      </c>
    </row>
    <row r="32" customFormat="false" ht="14.25" hidden="false" customHeight="false" outlineLevel="0" collapsed="false">
      <c r="A32" s="1" t="s">
        <v>184</v>
      </c>
      <c r="B32" s="1" t="s">
        <v>15</v>
      </c>
      <c r="C32" s="1" t="s">
        <v>59</v>
      </c>
      <c r="D32" s="1" t="s">
        <v>15</v>
      </c>
      <c r="E32" s="1" t="s">
        <v>67</v>
      </c>
      <c r="F32" s="1" t="s">
        <v>187</v>
      </c>
      <c r="G32" s="1" t="s">
        <v>189</v>
      </c>
    </row>
    <row r="33" customFormat="false" ht="14.25" hidden="false" customHeight="false" outlineLevel="0" collapsed="false">
      <c r="A33" s="1" t="s">
        <v>184</v>
      </c>
      <c r="B33" s="1" t="s">
        <v>15</v>
      </c>
      <c r="C33" s="1" t="s">
        <v>60</v>
      </c>
      <c r="D33" s="1" t="s">
        <v>15</v>
      </c>
      <c r="E33" s="1" t="s">
        <v>68</v>
      </c>
      <c r="F33" s="1" t="s">
        <v>109</v>
      </c>
      <c r="G33" s="1" t="s">
        <v>185</v>
      </c>
    </row>
    <row r="34" customFormat="false" ht="14.25" hidden="false" customHeight="false" outlineLevel="0" collapsed="false">
      <c r="A34" s="1" t="s">
        <v>184</v>
      </c>
      <c r="B34" s="1" t="s">
        <v>15</v>
      </c>
      <c r="C34" s="1" t="s">
        <v>60</v>
      </c>
      <c r="D34" s="1" t="s">
        <v>15</v>
      </c>
      <c r="E34" s="1" t="s">
        <v>68</v>
      </c>
      <c r="F34" s="1" t="s">
        <v>105</v>
      </c>
      <c r="G34" s="1" t="s">
        <v>186</v>
      </c>
    </row>
    <row r="35" customFormat="false" ht="14.25" hidden="false" customHeight="false" outlineLevel="0" collapsed="false">
      <c r="A35" s="1" t="s">
        <v>184</v>
      </c>
      <c r="B35" s="1" t="s">
        <v>15</v>
      </c>
      <c r="C35" s="1" t="s">
        <v>60</v>
      </c>
      <c r="D35" s="1" t="s">
        <v>15</v>
      </c>
      <c r="E35" s="1" t="s">
        <v>68</v>
      </c>
      <c r="F35" s="1" t="s">
        <v>187</v>
      </c>
      <c r="G35" s="1" t="s">
        <v>188</v>
      </c>
    </row>
    <row r="36" customFormat="false" ht="14.25" hidden="false" customHeight="false" outlineLevel="0" collapsed="false">
      <c r="A36" s="1" t="s">
        <v>184</v>
      </c>
      <c r="B36" s="1" t="s">
        <v>15</v>
      </c>
      <c r="C36" s="1" t="s">
        <v>60</v>
      </c>
      <c r="D36" s="1" t="s">
        <v>15</v>
      </c>
      <c r="E36" s="1" t="s">
        <v>68</v>
      </c>
      <c r="F36" s="1" t="s">
        <v>187</v>
      </c>
      <c r="G36" s="1" t="s">
        <v>189</v>
      </c>
    </row>
    <row r="37" customFormat="false" ht="14.25" hidden="false" customHeight="false" outlineLevel="0" collapsed="false">
      <c r="A37" s="1" t="s">
        <v>184</v>
      </c>
      <c r="B37" s="1" t="s">
        <v>15</v>
      </c>
      <c r="C37" s="1" t="s">
        <v>61</v>
      </c>
      <c r="D37" s="1" t="s">
        <v>15</v>
      </c>
      <c r="E37" s="1" t="s">
        <v>69</v>
      </c>
      <c r="F37" s="1" t="s">
        <v>109</v>
      </c>
      <c r="G37" s="1" t="s">
        <v>185</v>
      </c>
    </row>
    <row r="38" customFormat="false" ht="14.25" hidden="false" customHeight="false" outlineLevel="0" collapsed="false">
      <c r="A38" s="1" t="s">
        <v>184</v>
      </c>
      <c r="B38" s="1" t="s">
        <v>15</v>
      </c>
      <c r="C38" s="1" t="s">
        <v>61</v>
      </c>
      <c r="D38" s="1" t="s">
        <v>15</v>
      </c>
      <c r="E38" s="1" t="s">
        <v>69</v>
      </c>
      <c r="F38" s="1" t="s">
        <v>105</v>
      </c>
      <c r="G38" s="1" t="s">
        <v>186</v>
      </c>
    </row>
    <row r="39" customFormat="false" ht="14.25" hidden="false" customHeight="false" outlineLevel="0" collapsed="false">
      <c r="A39" s="1" t="s">
        <v>184</v>
      </c>
      <c r="B39" s="1" t="s">
        <v>15</v>
      </c>
      <c r="C39" s="1" t="s">
        <v>61</v>
      </c>
      <c r="D39" s="1" t="s">
        <v>15</v>
      </c>
      <c r="E39" s="1" t="s">
        <v>69</v>
      </c>
      <c r="F39" s="1" t="s">
        <v>187</v>
      </c>
      <c r="G39" s="1" t="s">
        <v>188</v>
      </c>
    </row>
    <row r="40" customFormat="false" ht="14.25" hidden="false" customHeight="false" outlineLevel="0" collapsed="false">
      <c r="A40" s="1" t="s">
        <v>184</v>
      </c>
      <c r="B40" s="1" t="s">
        <v>15</v>
      </c>
      <c r="C40" s="1" t="s">
        <v>61</v>
      </c>
      <c r="D40" s="1" t="s">
        <v>15</v>
      </c>
      <c r="E40" s="1" t="s">
        <v>69</v>
      </c>
      <c r="F40" s="1" t="s">
        <v>187</v>
      </c>
      <c r="G40" s="1" t="s">
        <v>189</v>
      </c>
    </row>
    <row r="41" customFormat="false" ht="14.25" hidden="false" customHeight="false" outlineLevel="0" collapsed="false">
      <c r="A41" s="1" t="s">
        <v>184</v>
      </c>
      <c r="B41" s="1" t="s">
        <v>15</v>
      </c>
      <c r="C41" s="1" t="s">
        <v>62</v>
      </c>
      <c r="D41" s="1" t="s">
        <v>15</v>
      </c>
      <c r="E41" s="1" t="s">
        <v>70</v>
      </c>
      <c r="F41" s="1" t="s">
        <v>109</v>
      </c>
      <c r="G41" s="1" t="s">
        <v>185</v>
      </c>
    </row>
    <row r="42" customFormat="false" ht="14.25" hidden="false" customHeight="false" outlineLevel="0" collapsed="false">
      <c r="A42" s="1" t="s">
        <v>184</v>
      </c>
      <c r="B42" s="1" t="s">
        <v>15</v>
      </c>
      <c r="C42" s="1" t="s">
        <v>62</v>
      </c>
      <c r="D42" s="1" t="s">
        <v>15</v>
      </c>
      <c r="E42" s="1" t="s">
        <v>70</v>
      </c>
      <c r="F42" s="1" t="s">
        <v>105</v>
      </c>
      <c r="G42" s="1" t="s">
        <v>186</v>
      </c>
    </row>
    <row r="43" customFormat="false" ht="14.25" hidden="false" customHeight="false" outlineLevel="0" collapsed="false">
      <c r="A43" s="1" t="s">
        <v>184</v>
      </c>
      <c r="B43" s="1" t="s">
        <v>15</v>
      </c>
      <c r="C43" s="1" t="s">
        <v>62</v>
      </c>
      <c r="D43" s="1" t="s">
        <v>15</v>
      </c>
      <c r="E43" s="1" t="s">
        <v>70</v>
      </c>
      <c r="F43" s="1" t="s">
        <v>187</v>
      </c>
      <c r="G43" s="1" t="s">
        <v>188</v>
      </c>
    </row>
    <row r="44" customFormat="false" ht="14.25" hidden="false" customHeight="false" outlineLevel="0" collapsed="false">
      <c r="A44" s="1" t="s">
        <v>184</v>
      </c>
      <c r="B44" s="1" t="s">
        <v>15</v>
      </c>
      <c r="C44" s="1" t="s">
        <v>62</v>
      </c>
      <c r="D44" s="1" t="s">
        <v>15</v>
      </c>
      <c r="E44" s="1" t="s">
        <v>70</v>
      </c>
      <c r="F44" s="1" t="s">
        <v>187</v>
      </c>
      <c r="G44" s="1" t="s">
        <v>189</v>
      </c>
    </row>
    <row r="46" customFormat="false" ht="14.25" hidden="false" customHeight="false" outlineLevel="0" collapsed="false">
      <c r="A46" s="1" t="s">
        <v>184</v>
      </c>
      <c r="B46" s="1" t="s">
        <v>15</v>
      </c>
      <c r="C46" s="1" t="s">
        <v>63</v>
      </c>
      <c r="D46" s="1" t="s">
        <v>15</v>
      </c>
      <c r="E46" s="1" t="s">
        <v>103</v>
      </c>
      <c r="F46" s="1" t="s">
        <v>105</v>
      </c>
      <c r="G46" s="1" t="s">
        <v>186</v>
      </c>
    </row>
    <row r="47" customFormat="false" ht="14.25" hidden="false" customHeight="false" outlineLevel="0" collapsed="false">
      <c r="A47" s="1" t="s">
        <v>184</v>
      </c>
      <c r="B47" s="1" t="s">
        <v>15</v>
      </c>
      <c r="C47" s="1" t="s">
        <v>65</v>
      </c>
      <c r="D47" s="1" t="s">
        <v>15</v>
      </c>
      <c r="E47" s="1" t="s">
        <v>103</v>
      </c>
      <c r="F47" s="1" t="s">
        <v>105</v>
      </c>
      <c r="G47" s="1" t="s">
        <v>186</v>
      </c>
    </row>
    <row r="48" customFormat="false" ht="14.25" hidden="false" customHeight="false" outlineLevel="0" collapsed="false">
      <c r="A48" s="1" t="s">
        <v>184</v>
      </c>
      <c r="B48" s="1" t="s">
        <v>15</v>
      </c>
      <c r="C48" s="1" t="s">
        <v>66</v>
      </c>
      <c r="D48" s="1" t="s">
        <v>15</v>
      </c>
      <c r="E48" s="1" t="s">
        <v>103</v>
      </c>
      <c r="F48" s="1" t="s">
        <v>105</v>
      </c>
      <c r="G48" s="1" t="s">
        <v>186</v>
      </c>
    </row>
    <row r="49" customFormat="false" ht="14.25" hidden="false" customHeight="false" outlineLevel="0" collapsed="false">
      <c r="A49" s="1" t="s">
        <v>184</v>
      </c>
      <c r="B49" s="1" t="s">
        <v>15</v>
      </c>
      <c r="C49" s="1" t="s">
        <v>67</v>
      </c>
      <c r="D49" s="1" t="s">
        <v>15</v>
      </c>
      <c r="E49" s="1" t="s">
        <v>103</v>
      </c>
      <c r="F49" s="1" t="s">
        <v>105</v>
      </c>
      <c r="G49" s="1" t="s">
        <v>186</v>
      </c>
    </row>
    <row r="50" customFormat="false" ht="14.25" hidden="false" customHeight="false" outlineLevel="0" collapsed="false">
      <c r="A50" s="1" t="s">
        <v>184</v>
      </c>
      <c r="B50" s="1" t="s">
        <v>15</v>
      </c>
      <c r="C50" s="1" t="s">
        <v>68</v>
      </c>
      <c r="D50" s="1" t="s">
        <v>15</v>
      </c>
      <c r="E50" s="1" t="s">
        <v>103</v>
      </c>
      <c r="F50" s="1" t="s">
        <v>105</v>
      </c>
      <c r="G50" s="1" t="s">
        <v>186</v>
      </c>
    </row>
    <row r="51" customFormat="false" ht="14.25" hidden="false" customHeight="false" outlineLevel="0" collapsed="false">
      <c r="A51" s="1" t="s">
        <v>184</v>
      </c>
      <c r="B51" s="1" t="s">
        <v>15</v>
      </c>
      <c r="C51" s="1" t="s">
        <v>69</v>
      </c>
      <c r="D51" s="1" t="s">
        <v>15</v>
      </c>
      <c r="E51" s="1" t="s">
        <v>103</v>
      </c>
      <c r="F51" s="1" t="s">
        <v>105</v>
      </c>
      <c r="G51" s="1" t="s">
        <v>186</v>
      </c>
    </row>
    <row r="52" customFormat="false" ht="14.25" hidden="false" customHeight="false" outlineLevel="0" collapsed="false">
      <c r="A52" s="1" t="s">
        <v>184</v>
      </c>
      <c r="B52" s="1" t="s">
        <v>15</v>
      </c>
      <c r="C52" s="1" t="s">
        <v>70</v>
      </c>
      <c r="D52" s="1" t="s">
        <v>15</v>
      </c>
      <c r="E52" s="1" t="s">
        <v>103</v>
      </c>
      <c r="F52" s="1" t="s">
        <v>105</v>
      </c>
      <c r="G52" s="1" t="s">
        <v>186</v>
      </c>
    </row>
    <row r="54" customFormat="false" ht="14.25" hidden="false" customHeight="false" outlineLevel="0" collapsed="false">
      <c r="A54" s="1" t="s">
        <v>184</v>
      </c>
      <c r="B54" s="1" t="s">
        <v>15</v>
      </c>
      <c r="C54" s="1" t="s">
        <v>63</v>
      </c>
      <c r="D54" s="1" t="s">
        <v>15</v>
      </c>
      <c r="E54" s="1" t="s">
        <v>107</v>
      </c>
      <c r="F54" s="1" t="s">
        <v>109</v>
      </c>
      <c r="G54" s="1" t="s">
        <v>185</v>
      </c>
    </row>
    <row r="55" customFormat="false" ht="14.25" hidden="false" customHeight="false" outlineLevel="0" collapsed="false">
      <c r="A55" s="1" t="s">
        <v>184</v>
      </c>
      <c r="B55" s="1" t="s">
        <v>15</v>
      </c>
      <c r="C55" s="1" t="s">
        <v>63</v>
      </c>
      <c r="D55" s="1" t="s">
        <v>15</v>
      </c>
      <c r="E55" s="1" t="s">
        <v>107</v>
      </c>
      <c r="F55" s="1" t="s">
        <v>187</v>
      </c>
      <c r="G55" s="1" t="s">
        <v>188</v>
      </c>
    </row>
    <row r="56" customFormat="false" ht="14.25" hidden="false" customHeight="false" outlineLevel="0" collapsed="false">
      <c r="A56" s="1" t="s">
        <v>184</v>
      </c>
      <c r="B56" s="1" t="s">
        <v>15</v>
      </c>
      <c r="C56" s="1" t="s">
        <v>63</v>
      </c>
      <c r="D56" s="1" t="s">
        <v>15</v>
      </c>
      <c r="E56" s="1" t="s">
        <v>107</v>
      </c>
      <c r="F56" s="1" t="s">
        <v>187</v>
      </c>
      <c r="G56" s="1" t="s">
        <v>189</v>
      </c>
    </row>
    <row r="57" customFormat="false" ht="14.25" hidden="false" customHeight="false" outlineLevel="0" collapsed="false">
      <c r="A57" s="1" t="s">
        <v>184</v>
      </c>
      <c r="B57" s="1" t="s">
        <v>15</v>
      </c>
      <c r="C57" s="1" t="s">
        <v>63</v>
      </c>
      <c r="D57" s="1" t="s">
        <v>15</v>
      </c>
      <c r="E57" s="1" t="s">
        <v>107</v>
      </c>
      <c r="F57" s="1" t="s">
        <v>187</v>
      </c>
      <c r="G57" s="1" t="s">
        <v>190</v>
      </c>
    </row>
    <row r="58" customFormat="false" ht="14.25" hidden="false" customHeight="false" outlineLevel="0" collapsed="false">
      <c r="A58" s="1" t="s">
        <v>184</v>
      </c>
      <c r="B58" s="1" t="s">
        <v>15</v>
      </c>
      <c r="C58" s="1" t="s">
        <v>65</v>
      </c>
      <c r="D58" s="1" t="s">
        <v>15</v>
      </c>
      <c r="E58" s="1" t="s">
        <v>107</v>
      </c>
      <c r="F58" s="1" t="s">
        <v>109</v>
      </c>
      <c r="G58" s="1" t="s">
        <v>185</v>
      </c>
    </row>
    <row r="59" customFormat="false" ht="14.25" hidden="false" customHeight="false" outlineLevel="0" collapsed="false">
      <c r="A59" s="1" t="s">
        <v>184</v>
      </c>
      <c r="B59" s="1" t="s">
        <v>15</v>
      </c>
      <c r="C59" s="1" t="s">
        <v>65</v>
      </c>
      <c r="D59" s="1" t="s">
        <v>15</v>
      </c>
      <c r="E59" s="1" t="s">
        <v>107</v>
      </c>
      <c r="F59" s="1" t="s">
        <v>187</v>
      </c>
      <c r="G59" s="1" t="s">
        <v>188</v>
      </c>
    </row>
    <row r="60" customFormat="false" ht="14.25" hidden="false" customHeight="false" outlineLevel="0" collapsed="false">
      <c r="A60" s="1" t="s">
        <v>184</v>
      </c>
      <c r="B60" s="1" t="s">
        <v>15</v>
      </c>
      <c r="C60" s="1" t="s">
        <v>65</v>
      </c>
      <c r="D60" s="1" t="s">
        <v>15</v>
      </c>
      <c r="E60" s="1" t="s">
        <v>107</v>
      </c>
      <c r="F60" s="1" t="s">
        <v>187</v>
      </c>
      <c r="G60" s="1" t="s">
        <v>189</v>
      </c>
    </row>
    <row r="61" customFormat="false" ht="14.25" hidden="false" customHeight="false" outlineLevel="0" collapsed="false">
      <c r="A61" s="1" t="s">
        <v>184</v>
      </c>
      <c r="B61" s="1" t="s">
        <v>15</v>
      </c>
      <c r="C61" s="1" t="s">
        <v>65</v>
      </c>
      <c r="D61" s="1" t="s">
        <v>15</v>
      </c>
      <c r="E61" s="1" t="s">
        <v>107</v>
      </c>
      <c r="F61" s="1" t="s">
        <v>187</v>
      </c>
      <c r="G61" s="1" t="s">
        <v>190</v>
      </c>
    </row>
    <row r="62" customFormat="false" ht="14.25" hidden="false" customHeight="false" outlineLevel="0" collapsed="false">
      <c r="A62" s="1" t="s">
        <v>184</v>
      </c>
      <c r="B62" s="1" t="s">
        <v>15</v>
      </c>
      <c r="C62" s="1" t="s">
        <v>66</v>
      </c>
      <c r="D62" s="1" t="s">
        <v>15</v>
      </c>
      <c r="E62" s="1" t="s">
        <v>107</v>
      </c>
      <c r="F62" s="1" t="s">
        <v>109</v>
      </c>
      <c r="G62" s="1" t="s">
        <v>185</v>
      </c>
    </row>
    <row r="63" customFormat="false" ht="14.25" hidden="false" customHeight="false" outlineLevel="0" collapsed="false">
      <c r="A63" s="1" t="s">
        <v>184</v>
      </c>
      <c r="B63" s="1" t="s">
        <v>15</v>
      </c>
      <c r="C63" s="1" t="s">
        <v>66</v>
      </c>
      <c r="D63" s="1" t="s">
        <v>15</v>
      </c>
      <c r="E63" s="1" t="s">
        <v>107</v>
      </c>
      <c r="F63" s="1" t="s">
        <v>187</v>
      </c>
      <c r="G63" s="1" t="s">
        <v>188</v>
      </c>
    </row>
    <row r="64" customFormat="false" ht="14.25" hidden="false" customHeight="false" outlineLevel="0" collapsed="false">
      <c r="A64" s="1" t="s">
        <v>184</v>
      </c>
      <c r="B64" s="1" t="s">
        <v>15</v>
      </c>
      <c r="C64" s="1" t="s">
        <v>66</v>
      </c>
      <c r="D64" s="1" t="s">
        <v>15</v>
      </c>
      <c r="E64" s="1" t="s">
        <v>107</v>
      </c>
      <c r="F64" s="1" t="s">
        <v>187</v>
      </c>
      <c r="G64" s="1" t="s">
        <v>189</v>
      </c>
    </row>
    <row r="65" customFormat="false" ht="14.25" hidden="false" customHeight="false" outlineLevel="0" collapsed="false">
      <c r="A65" s="1" t="s">
        <v>184</v>
      </c>
      <c r="B65" s="1" t="s">
        <v>15</v>
      </c>
      <c r="C65" s="1" t="s">
        <v>66</v>
      </c>
      <c r="D65" s="1" t="s">
        <v>15</v>
      </c>
      <c r="E65" s="1" t="s">
        <v>107</v>
      </c>
      <c r="F65" s="1" t="s">
        <v>187</v>
      </c>
      <c r="G65" s="1" t="s">
        <v>190</v>
      </c>
    </row>
    <row r="66" customFormat="false" ht="14.25" hidden="false" customHeight="false" outlineLevel="0" collapsed="false">
      <c r="A66" s="1" t="s">
        <v>184</v>
      </c>
      <c r="B66" s="1" t="s">
        <v>15</v>
      </c>
      <c r="C66" s="1" t="s">
        <v>67</v>
      </c>
      <c r="D66" s="1" t="s">
        <v>15</v>
      </c>
      <c r="E66" s="1" t="s">
        <v>107</v>
      </c>
      <c r="F66" s="1" t="s">
        <v>109</v>
      </c>
      <c r="G66" s="1" t="s">
        <v>185</v>
      </c>
    </row>
    <row r="67" customFormat="false" ht="14.25" hidden="false" customHeight="false" outlineLevel="0" collapsed="false">
      <c r="A67" s="1" t="s">
        <v>184</v>
      </c>
      <c r="B67" s="1" t="s">
        <v>15</v>
      </c>
      <c r="C67" s="1" t="s">
        <v>67</v>
      </c>
      <c r="D67" s="1" t="s">
        <v>15</v>
      </c>
      <c r="E67" s="1" t="s">
        <v>107</v>
      </c>
      <c r="F67" s="1" t="s">
        <v>187</v>
      </c>
      <c r="G67" s="1" t="s">
        <v>188</v>
      </c>
    </row>
    <row r="68" customFormat="false" ht="14.25" hidden="false" customHeight="false" outlineLevel="0" collapsed="false">
      <c r="A68" s="1" t="s">
        <v>184</v>
      </c>
      <c r="B68" s="1" t="s">
        <v>15</v>
      </c>
      <c r="C68" s="1" t="s">
        <v>67</v>
      </c>
      <c r="D68" s="1" t="s">
        <v>15</v>
      </c>
      <c r="E68" s="1" t="s">
        <v>107</v>
      </c>
      <c r="F68" s="1" t="s">
        <v>187</v>
      </c>
      <c r="G68" s="1" t="s">
        <v>189</v>
      </c>
    </row>
    <row r="69" customFormat="false" ht="14.25" hidden="false" customHeight="false" outlineLevel="0" collapsed="false">
      <c r="A69" s="1" t="s">
        <v>184</v>
      </c>
      <c r="B69" s="1" t="s">
        <v>15</v>
      </c>
      <c r="C69" s="1" t="s">
        <v>67</v>
      </c>
      <c r="D69" s="1" t="s">
        <v>15</v>
      </c>
      <c r="E69" s="1" t="s">
        <v>107</v>
      </c>
      <c r="F69" s="1" t="s">
        <v>187</v>
      </c>
      <c r="G69" s="1" t="s">
        <v>190</v>
      </c>
    </row>
    <row r="70" customFormat="false" ht="14.25" hidden="false" customHeight="false" outlineLevel="0" collapsed="false">
      <c r="A70" s="1" t="s">
        <v>184</v>
      </c>
      <c r="B70" s="1" t="s">
        <v>15</v>
      </c>
      <c r="C70" s="1" t="s">
        <v>68</v>
      </c>
      <c r="D70" s="1" t="s">
        <v>15</v>
      </c>
      <c r="E70" s="1" t="s">
        <v>107</v>
      </c>
      <c r="F70" s="1" t="s">
        <v>109</v>
      </c>
      <c r="G70" s="1" t="s">
        <v>185</v>
      </c>
    </row>
    <row r="71" customFormat="false" ht="14.25" hidden="false" customHeight="false" outlineLevel="0" collapsed="false">
      <c r="A71" s="1" t="s">
        <v>184</v>
      </c>
      <c r="B71" s="1" t="s">
        <v>15</v>
      </c>
      <c r="C71" s="1" t="s">
        <v>68</v>
      </c>
      <c r="D71" s="1" t="s">
        <v>15</v>
      </c>
      <c r="E71" s="1" t="s">
        <v>107</v>
      </c>
      <c r="F71" s="1" t="s">
        <v>187</v>
      </c>
      <c r="G71" s="1" t="s">
        <v>188</v>
      </c>
    </row>
    <row r="72" customFormat="false" ht="14.25" hidden="false" customHeight="false" outlineLevel="0" collapsed="false">
      <c r="A72" s="1" t="s">
        <v>184</v>
      </c>
      <c r="B72" s="1" t="s">
        <v>15</v>
      </c>
      <c r="C72" s="1" t="s">
        <v>68</v>
      </c>
      <c r="D72" s="1" t="s">
        <v>15</v>
      </c>
      <c r="E72" s="1" t="s">
        <v>107</v>
      </c>
      <c r="F72" s="1" t="s">
        <v>187</v>
      </c>
      <c r="G72" s="1" t="s">
        <v>189</v>
      </c>
    </row>
    <row r="73" customFormat="false" ht="14.25" hidden="false" customHeight="false" outlineLevel="0" collapsed="false">
      <c r="A73" s="1" t="s">
        <v>184</v>
      </c>
      <c r="B73" s="1" t="s">
        <v>15</v>
      </c>
      <c r="C73" s="1" t="s">
        <v>68</v>
      </c>
      <c r="D73" s="1" t="s">
        <v>15</v>
      </c>
      <c r="E73" s="1" t="s">
        <v>107</v>
      </c>
      <c r="F73" s="1" t="s">
        <v>187</v>
      </c>
      <c r="G73" s="1" t="s">
        <v>190</v>
      </c>
    </row>
    <row r="74" customFormat="false" ht="14.25" hidden="false" customHeight="false" outlineLevel="0" collapsed="false">
      <c r="A74" s="1" t="s">
        <v>184</v>
      </c>
      <c r="B74" s="1" t="s">
        <v>15</v>
      </c>
      <c r="C74" s="1" t="s">
        <v>69</v>
      </c>
      <c r="D74" s="1" t="s">
        <v>15</v>
      </c>
      <c r="E74" s="1" t="s">
        <v>107</v>
      </c>
      <c r="F74" s="1" t="s">
        <v>109</v>
      </c>
      <c r="G74" s="1" t="s">
        <v>185</v>
      </c>
    </row>
    <row r="75" customFormat="false" ht="14.25" hidden="false" customHeight="false" outlineLevel="0" collapsed="false">
      <c r="A75" s="1" t="s">
        <v>184</v>
      </c>
      <c r="B75" s="1" t="s">
        <v>15</v>
      </c>
      <c r="C75" s="1" t="s">
        <v>69</v>
      </c>
      <c r="D75" s="1" t="s">
        <v>15</v>
      </c>
      <c r="E75" s="1" t="s">
        <v>107</v>
      </c>
      <c r="F75" s="1" t="s">
        <v>187</v>
      </c>
      <c r="G75" s="1" t="s">
        <v>188</v>
      </c>
    </row>
    <row r="76" customFormat="false" ht="14.25" hidden="false" customHeight="false" outlineLevel="0" collapsed="false">
      <c r="A76" s="1" t="s">
        <v>184</v>
      </c>
      <c r="B76" s="1" t="s">
        <v>15</v>
      </c>
      <c r="C76" s="1" t="s">
        <v>69</v>
      </c>
      <c r="D76" s="1" t="s">
        <v>15</v>
      </c>
      <c r="E76" s="1" t="s">
        <v>107</v>
      </c>
      <c r="F76" s="1" t="s">
        <v>187</v>
      </c>
      <c r="G76" s="1" t="s">
        <v>189</v>
      </c>
    </row>
    <row r="77" customFormat="false" ht="14.25" hidden="false" customHeight="false" outlineLevel="0" collapsed="false">
      <c r="A77" s="1" t="s">
        <v>184</v>
      </c>
      <c r="B77" s="1" t="s">
        <v>15</v>
      </c>
      <c r="C77" s="1" t="s">
        <v>69</v>
      </c>
      <c r="D77" s="1" t="s">
        <v>15</v>
      </c>
      <c r="E77" s="1" t="s">
        <v>107</v>
      </c>
      <c r="F77" s="1" t="s">
        <v>187</v>
      </c>
      <c r="G77" s="1" t="s">
        <v>190</v>
      </c>
    </row>
    <row r="78" customFormat="false" ht="14.25" hidden="false" customHeight="false" outlineLevel="0" collapsed="false">
      <c r="A78" s="1" t="s">
        <v>184</v>
      </c>
      <c r="B78" s="1" t="s">
        <v>15</v>
      </c>
      <c r="C78" s="1" t="s">
        <v>70</v>
      </c>
      <c r="D78" s="1" t="s">
        <v>15</v>
      </c>
      <c r="E78" s="1" t="s">
        <v>107</v>
      </c>
      <c r="F78" s="1" t="s">
        <v>109</v>
      </c>
      <c r="G78" s="1" t="s">
        <v>185</v>
      </c>
    </row>
    <row r="79" customFormat="false" ht="14.25" hidden="false" customHeight="false" outlineLevel="0" collapsed="false">
      <c r="A79" s="1" t="s">
        <v>184</v>
      </c>
      <c r="B79" s="1" t="s">
        <v>15</v>
      </c>
      <c r="C79" s="1" t="s">
        <v>70</v>
      </c>
      <c r="D79" s="1" t="s">
        <v>15</v>
      </c>
      <c r="E79" s="1" t="s">
        <v>107</v>
      </c>
      <c r="F79" s="1" t="s">
        <v>187</v>
      </c>
      <c r="G79" s="1" t="s">
        <v>188</v>
      </c>
    </row>
    <row r="80" customFormat="false" ht="14.25" hidden="false" customHeight="false" outlineLevel="0" collapsed="false">
      <c r="A80" s="1" t="s">
        <v>184</v>
      </c>
      <c r="B80" s="1" t="s">
        <v>15</v>
      </c>
      <c r="C80" s="1" t="s">
        <v>70</v>
      </c>
      <c r="D80" s="1" t="s">
        <v>15</v>
      </c>
      <c r="E80" s="1" t="s">
        <v>107</v>
      </c>
      <c r="F80" s="1" t="s">
        <v>187</v>
      </c>
      <c r="G80" s="1" t="s">
        <v>189</v>
      </c>
    </row>
    <row r="81" customFormat="false" ht="14.25" hidden="false" customHeight="false" outlineLevel="0" collapsed="false">
      <c r="A81" s="1" t="s">
        <v>184</v>
      </c>
      <c r="B81" s="1" t="s">
        <v>15</v>
      </c>
      <c r="C81" s="1" t="s">
        <v>70</v>
      </c>
      <c r="D81" s="1" t="s">
        <v>15</v>
      </c>
      <c r="E81" s="1" t="s">
        <v>107</v>
      </c>
      <c r="F81" s="1" t="s">
        <v>187</v>
      </c>
      <c r="G81" s="1" t="s">
        <v>190</v>
      </c>
    </row>
    <row r="83" customFormat="false" ht="14.25" hidden="false" customHeight="false" outlineLevel="0" collapsed="false">
      <c r="A83" s="1" t="s">
        <v>184</v>
      </c>
      <c r="B83" s="1" t="s">
        <v>15</v>
      </c>
      <c r="C83" s="1" t="s">
        <v>63</v>
      </c>
      <c r="D83" s="1" t="s">
        <v>15</v>
      </c>
      <c r="E83" s="1" t="s">
        <v>153</v>
      </c>
      <c r="F83" s="1" t="s">
        <v>187</v>
      </c>
      <c r="G83" s="60"/>
    </row>
    <row r="84" customFormat="false" ht="14.25" hidden="false" customHeight="false" outlineLevel="0" collapsed="false">
      <c r="A84" s="1" t="s">
        <v>184</v>
      </c>
      <c r="B84" s="1" t="s">
        <v>15</v>
      </c>
      <c r="C84" s="1" t="s">
        <v>65</v>
      </c>
      <c r="D84" s="1" t="s">
        <v>15</v>
      </c>
      <c r="E84" s="1" t="s">
        <v>153</v>
      </c>
      <c r="F84" s="1" t="s">
        <v>187</v>
      </c>
      <c r="G84" s="60"/>
    </row>
    <row r="85" customFormat="false" ht="14.25" hidden="false" customHeight="false" outlineLevel="0" collapsed="false">
      <c r="A85" s="1" t="s">
        <v>184</v>
      </c>
      <c r="B85" s="1" t="s">
        <v>15</v>
      </c>
      <c r="C85" s="1" t="s">
        <v>66</v>
      </c>
      <c r="D85" s="1" t="s">
        <v>15</v>
      </c>
      <c r="E85" s="1" t="s">
        <v>161</v>
      </c>
      <c r="F85" s="1" t="s">
        <v>187</v>
      </c>
      <c r="G85" s="60"/>
    </row>
    <row r="86" customFormat="false" ht="14.25" hidden="false" customHeight="false" outlineLevel="0" collapsed="false">
      <c r="A86" s="1" t="s">
        <v>184</v>
      </c>
      <c r="B86" s="1" t="s">
        <v>15</v>
      </c>
      <c r="C86" s="1" t="s">
        <v>67</v>
      </c>
      <c r="D86" s="1" t="s">
        <v>15</v>
      </c>
      <c r="E86" s="1" t="s">
        <v>161</v>
      </c>
      <c r="F86" s="1" t="s">
        <v>187</v>
      </c>
      <c r="G86" s="60"/>
    </row>
    <row r="87" customFormat="false" ht="14.25" hidden="false" customHeight="false" outlineLevel="0" collapsed="false">
      <c r="A87" s="1" t="s">
        <v>184</v>
      </c>
      <c r="B87" s="1" t="s">
        <v>15</v>
      </c>
      <c r="C87" s="1" t="s">
        <v>68</v>
      </c>
      <c r="D87" s="1" t="s">
        <v>15</v>
      </c>
      <c r="E87" s="1" t="s">
        <v>162</v>
      </c>
      <c r="F87" s="1" t="s">
        <v>187</v>
      </c>
      <c r="G87" s="60"/>
    </row>
    <row r="88" customFormat="false" ht="14.25" hidden="false" customHeight="false" outlineLevel="0" collapsed="false">
      <c r="A88" s="1" t="s">
        <v>184</v>
      </c>
      <c r="B88" s="1" t="s">
        <v>15</v>
      </c>
      <c r="C88" s="1" t="s">
        <v>69</v>
      </c>
      <c r="D88" s="1" t="s">
        <v>15</v>
      </c>
      <c r="E88" s="1" t="s">
        <v>162</v>
      </c>
      <c r="F88" s="1" t="s">
        <v>187</v>
      </c>
      <c r="G88" s="60"/>
    </row>
    <row r="89" customFormat="false" ht="14.25" hidden="false" customHeight="false" outlineLevel="0" collapsed="false">
      <c r="A89" s="1" t="s">
        <v>184</v>
      </c>
      <c r="B89" s="1" t="s">
        <v>15</v>
      </c>
      <c r="C89" s="1" t="s">
        <v>70</v>
      </c>
      <c r="D89" s="1" t="s">
        <v>15</v>
      </c>
      <c r="E89" s="1" t="s">
        <v>163</v>
      </c>
      <c r="F89" s="1" t="s">
        <v>187</v>
      </c>
      <c r="G89" s="60"/>
    </row>
    <row r="91" customFormat="false" ht="14.25" hidden="false" customHeight="false" outlineLevel="0" collapsed="false">
      <c r="A91" s="1" t="s">
        <v>184</v>
      </c>
      <c r="B91" s="1" t="s">
        <v>15</v>
      </c>
      <c r="C91" s="1" t="s">
        <v>153</v>
      </c>
      <c r="D91" s="1" t="s">
        <v>15</v>
      </c>
      <c r="E91" s="1" t="s">
        <v>175</v>
      </c>
      <c r="F91" s="1" t="s">
        <v>187</v>
      </c>
      <c r="G91" s="1" t="s">
        <v>191</v>
      </c>
    </row>
    <row r="92" customFormat="false" ht="14.25" hidden="false" customHeight="false" outlineLevel="0" collapsed="false">
      <c r="A92" s="1" t="s">
        <v>184</v>
      </c>
      <c r="B92" s="1" t="s">
        <v>15</v>
      </c>
      <c r="C92" s="1" t="s">
        <v>161</v>
      </c>
      <c r="D92" s="1" t="s">
        <v>15</v>
      </c>
      <c r="E92" s="1" t="s">
        <v>175</v>
      </c>
      <c r="F92" s="1" t="s">
        <v>187</v>
      </c>
      <c r="G92" s="1" t="s">
        <v>191</v>
      </c>
    </row>
    <row r="93" customFormat="false" ht="14.25" hidden="false" customHeight="false" outlineLevel="0" collapsed="false">
      <c r="A93" s="1" t="s">
        <v>184</v>
      </c>
      <c r="B93" s="1" t="s">
        <v>15</v>
      </c>
      <c r="C93" s="1" t="s">
        <v>162</v>
      </c>
      <c r="D93" s="1" t="s">
        <v>15</v>
      </c>
      <c r="E93" s="1" t="s">
        <v>175</v>
      </c>
      <c r="F93" s="1" t="s">
        <v>187</v>
      </c>
      <c r="G93" s="1" t="s">
        <v>191</v>
      </c>
    </row>
    <row r="94" customFormat="false" ht="14.25" hidden="false" customHeight="false" outlineLevel="0" collapsed="false">
      <c r="A94" s="1" t="s">
        <v>184</v>
      </c>
      <c r="B94" s="1" t="s">
        <v>15</v>
      </c>
      <c r="C94" s="1" t="s">
        <v>163</v>
      </c>
      <c r="D94" s="1" t="s">
        <v>15</v>
      </c>
      <c r="E94" s="1" t="s">
        <v>175</v>
      </c>
      <c r="F94" s="1" t="s">
        <v>187</v>
      </c>
      <c r="G94" s="1" t="s">
        <v>191</v>
      </c>
    </row>
    <row r="96" customFormat="false" ht="14.25" hidden="false" customHeight="false" outlineLevel="0" collapsed="false">
      <c r="A96" s="1" t="s">
        <v>184</v>
      </c>
      <c r="B96" s="1" t="s">
        <v>15</v>
      </c>
      <c r="C96" s="1" t="s">
        <v>107</v>
      </c>
      <c r="D96" s="1" t="s">
        <v>15</v>
      </c>
      <c r="E96" s="1" t="s">
        <v>175</v>
      </c>
      <c r="F96" s="1" t="s">
        <v>187</v>
      </c>
      <c r="G96" s="1" t="s">
        <v>192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35" activeCellId="1" sqref="R2:R8 N3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8.89"/>
    <col collapsed="false" customWidth="true" hidden="false" outlineLevel="0" max="2" min="2" style="1" width="15.33"/>
    <col collapsed="false" customWidth="true" hidden="false" outlineLevel="0" max="3" min="3" style="1" width="18.66"/>
    <col collapsed="false" customWidth="true" hidden="false" outlineLevel="0" max="4" min="4" style="1" width="15.33"/>
    <col collapsed="false" customWidth="true" hidden="false" outlineLevel="0" max="5" min="5" style="1" width="19.89"/>
  </cols>
  <sheetData>
    <row r="1" s="12" customFormat="true" ht="14.25" hidden="false" customHeight="false" outlineLevel="0" collapsed="false">
      <c r="A1" s="61" t="s">
        <v>14</v>
      </c>
      <c r="B1" s="61" t="s">
        <v>193</v>
      </c>
      <c r="C1" s="61" t="s">
        <v>194</v>
      </c>
      <c r="D1" s="61" t="s">
        <v>195</v>
      </c>
      <c r="E1" s="61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4" activeCellId="1" sqref="R2:R8 M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1"/>
  </cols>
  <sheetData>
    <row r="1" customFormat="false" ht="14.25" hidden="false" customHeight="false" outlineLevel="0" collapsed="false">
      <c r="A1" s="1" t="s">
        <v>14</v>
      </c>
      <c r="B1" s="1" t="s">
        <v>197</v>
      </c>
      <c r="C1" s="1" t="s">
        <v>198</v>
      </c>
    </row>
    <row r="2" customFormat="false" ht="14.25" hidden="false" customHeight="false" outlineLevel="0" collapsed="false">
      <c r="A2" s="1" t="s">
        <v>199</v>
      </c>
      <c r="B2" s="1" t="s">
        <v>200</v>
      </c>
      <c r="C2" s="1" t="n">
        <v>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5" activeCellId="1" sqref="R2:R8 F15"/>
    </sheetView>
  </sheetViews>
  <sheetFormatPr defaultColWidth="8.5390625" defaultRowHeight="14.25" zeroHeight="false" outlineLevelRow="0" outlineLevelCol="0"/>
  <cols>
    <col collapsed="false" customWidth="true" hidden="false" outlineLevel="0" max="2" min="1" style="1" width="19.44"/>
  </cols>
  <sheetData>
    <row r="1" customFormat="false" ht="14.25" hidden="false" customHeight="false" outlineLevel="0" collapsed="false">
      <c r="A1" s="57" t="s">
        <v>201</v>
      </c>
      <c r="B1" s="57" t="s">
        <v>202</v>
      </c>
    </row>
    <row r="2" customFormat="false" ht="14.25" hidden="false" customHeight="false" outlineLevel="0" collapsed="false">
      <c r="A2" s="1" t="s">
        <v>203</v>
      </c>
      <c r="B2" s="1" t="s">
        <v>203</v>
      </c>
    </row>
    <row r="3" customFormat="false" ht="14.25" hidden="false" customHeight="false" outlineLevel="0" collapsed="false">
      <c r="A3" s="1" t="s">
        <v>204</v>
      </c>
      <c r="B3" s="1" t="s">
        <v>204</v>
      </c>
    </row>
    <row r="4" customFormat="false" ht="14.25" hidden="false" customHeight="false" outlineLevel="0" collapsed="false">
      <c r="A4" s="1" t="s">
        <v>205</v>
      </c>
      <c r="B4" s="1" t="s">
        <v>205</v>
      </c>
    </row>
    <row r="5" customFormat="false" ht="14.25" hidden="false" customHeight="false" outlineLevel="0" collapsed="false">
      <c r="A5" s="1" t="s">
        <v>206</v>
      </c>
      <c r="B5" s="1" t="s">
        <v>206</v>
      </c>
    </row>
    <row r="6" customFormat="false" ht="14.25" hidden="false" customHeight="false" outlineLevel="0" collapsed="false">
      <c r="A6" s="1" t="s">
        <v>207</v>
      </c>
      <c r="B6" s="1" t="s">
        <v>207</v>
      </c>
    </row>
    <row r="7" customFormat="false" ht="14.25" hidden="false" customHeight="false" outlineLevel="0" collapsed="false">
      <c r="A7" s="1" t="s">
        <v>208</v>
      </c>
      <c r="B7" s="1" t="s">
        <v>208</v>
      </c>
    </row>
    <row r="8" customFormat="false" ht="14.25" hidden="false" customHeight="false" outlineLevel="0" collapsed="false">
      <c r="A8" s="1" t="s">
        <v>209</v>
      </c>
      <c r="B8" s="1" t="s">
        <v>209</v>
      </c>
    </row>
    <row r="9" customFormat="false" ht="14.25" hidden="false" customHeight="false" outlineLevel="0" collapsed="false">
      <c r="A9" s="1" t="s">
        <v>210</v>
      </c>
      <c r="B9" s="1" t="s">
        <v>210</v>
      </c>
    </row>
    <row r="10" customFormat="false" ht="14.25" hidden="false" customHeight="false" outlineLevel="0" collapsed="false">
      <c r="A10" s="1" t="s">
        <v>211</v>
      </c>
      <c r="B10" s="1" t="s">
        <v>212</v>
      </c>
    </row>
    <row r="11" customFormat="false" ht="14.25" hidden="false" customHeight="false" outlineLevel="0" collapsed="false">
      <c r="A11" s="1" t="s">
        <v>213</v>
      </c>
      <c r="B11" s="1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LibreOffice/7.4.2.3$Linux_X86_64 LibreOffice_project/40$Build-3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2021-02-18T15:05:05Z</dcterms:created>
  <dc:creator>openpyxl</dc:creator>
  <dc:description/>
  <dc:language>en-US</dc:language>
  <cp:lastModifiedBy/>
  <dcterms:modified xsi:type="dcterms:W3CDTF">2023-02-02T11:55:15Z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