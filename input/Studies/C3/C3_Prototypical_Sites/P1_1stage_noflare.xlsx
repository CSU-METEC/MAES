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wmollel\Documents\MEET2\input\Studies\C3\C3_Prototypical_Sites\"/>
    </mc:Choice>
  </mc:AlternateContent>
  <xr:revisionPtr revIDLastSave="0" documentId="13_ncr:1_{0B29EE81-B6E6-4456-8050-D117F09441A6}" xr6:coauthVersionLast="47" xr6:coauthVersionMax="47" xr10:uidLastSave="{00000000-0000-0000-0000-000000000000}"/>
  <bookViews>
    <workbookView xWindow="28680" yWindow="-120" windowWidth="29040" windowHeight="15720" tabRatio="925" activeTab="5" xr2:uid="{00000000-000D-0000-FFFF-FFFF00000000}"/>
  </bookViews>
  <sheets>
    <sheet name="Global Simulation Parameters" sheetId="1" r:id="rId1"/>
    <sheet name="Facilities" sheetId="2" r:id="rId2"/>
    <sheet name="Cycling Wells" sheetId="20" r:id="rId3"/>
    <sheet name="Continuous Separators" sheetId="4" r:id="rId4"/>
    <sheet name="Other" sheetId="8" r:id="rId5"/>
    <sheet name="Tank Battery" sheetId="11" r:id="rId6"/>
    <sheet name="Probes" sheetId="21" r:id="rId7"/>
    <sheet name="FFLinks" sheetId="16" r:id="rId8"/>
    <sheet name="Master Equipment" sheetId="1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0" l="1"/>
  <c r="J4" i="20"/>
  <c r="J2" i="20"/>
</calcChain>
</file>

<file path=xl/sharedStrings.xml><?xml version="1.0" encoding="utf-8"?>
<sst xmlns="http://schemas.openxmlformats.org/spreadsheetml/2006/main" count="283" uniqueCount="138">
  <si>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</si>
  <si>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</si>
  <si>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</si>
  <si>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</si>
  <si>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</si>
  <si>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</si>
  <si>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</si>
  <si>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</si>
  <si>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</si>
  <si>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</si>
  <si>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</si>
  <si>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</si>
  <si>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</si>
  <si>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</si>
  <si>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</si>
  <si>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</si>
  <si>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</si>
  <si>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</si>
  <si>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</si>
  <si>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tank_battery_WATER</t>
  </si>
  <si>
    <t>tank_battery_OIL</t>
  </si>
  <si>
    <t>Gas</t>
  </si>
  <si>
    <t>Primary Water Takeoff Ratio</t>
  </si>
  <si>
    <t>sep_stage1_1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</si>
  <si>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</si>
  <si>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</si>
  <si>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</si>
  <si>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</si>
  <si>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</si>
  <si>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</si>
  <si>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</si>
  <si>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</si>
  <si>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Flow Tag</t>
  </si>
  <si>
    <t>Well</t>
  </si>
  <si>
    <t>Flow GC Tag</t>
  </si>
  <si>
    <t>Stage1</t>
  </si>
  <si>
    <t>Condensate</t>
  </si>
  <si>
    <t>Water</t>
  </si>
  <si>
    <t>primary_water</t>
  </si>
  <si>
    <t>Facility.json</t>
  </si>
  <si>
    <t>FFLink.json</t>
  </si>
  <si>
    <t>Component Leak Survey Frequency [days]</t>
  </si>
  <si>
    <t>TankBattery.json</t>
  </si>
  <si>
    <t>Tank Thief Hatch MTTR min [days]</t>
  </si>
  <si>
    <t>Tank Thief Hatch MTTR max [days]</t>
  </si>
  <si>
    <t>Tank Battery Vent MTTR min [days]</t>
  </si>
  <si>
    <t>Tank Battery Vent MTTR max [days]</t>
  </si>
  <si>
    <t>Actuator Type [Gas, Electric, Air]</t>
  </si>
  <si>
    <t>Flow Gas Composition</t>
  </si>
  <si>
    <t>Activity / Emission Factor Name</t>
  </si>
  <si>
    <t>Factor Tag</t>
  </si>
  <si>
    <t>Vapor</t>
  </si>
  <si>
    <t>Other</t>
  </si>
  <si>
    <t>misc_equipment</t>
  </si>
  <si>
    <t>Number of Thief Hatches</t>
  </si>
  <si>
    <t>Number of Vents</t>
  </si>
  <si>
    <t>123-4318</t>
  </si>
  <si>
    <t>05-123-08589</t>
  </si>
  <si>
    <t>05-123-09044</t>
  </si>
  <si>
    <t>05-123-13525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</si>
  <si>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</si>
  <si>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</si>
  <si>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</si>
  <si>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</si>
  <si>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</si>
  <si>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</si>
  <si>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</si>
  <si>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</si>
  <si>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</si>
  <si>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</si>
  <si>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</si>
  <si>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</si>
  <si>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</si>
  <si>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 xml:space="preserve">Gas 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</si>
  <si>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</si>
  <si>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</si>
  <si>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</si>
  <si>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</si>
  <si>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</si>
  <si>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input/Studies/C3/C3_Prototypical_Sites/CompositionsC3_1stage.csv</t>
  </si>
  <si>
    <t>Default-LeakGc</t>
  </si>
  <si>
    <t>Battery Type [Condensate Tank, Water Tank]</t>
  </si>
  <si>
    <t>Fluid [Water, Condensate]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</si>
  <si>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</si>
  <si>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</si>
  <si>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</si>
  <si>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</si>
  <si>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</si>
  <si>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</si>
  <si>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</si>
  <si>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</si>
  <si>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</si>
  <si>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</si>
  <si>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</si>
  <si>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</si>
  <si>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</si>
  <si>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Leak GC Name</t>
  </si>
  <si>
    <t>wellpad</t>
  </si>
  <si>
    <t>Well-Condensate.Stage1-Flash</t>
  </si>
  <si>
    <t>Well-Condensate.Stage1-Condensate.Tank-Flash</t>
  </si>
  <si>
    <t>Well-Water.Stage1-Water.Tank-Flash</t>
  </si>
  <si>
    <t>wellpad_sep</t>
  </si>
  <si>
    <t>wellpad_misc</t>
  </si>
  <si>
    <t>wellpad_tanks</t>
  </si>
  <si>
    <t>Leak Gas Composition</t>
  </si>
  <si>
    <t>Output Directory Template</t>
  </si>
  <si>
    <t>Graph Group</t>
  </si>
  <si>
    <t>Probe.json</t>
  </si>
  <si>
    <t>WaterProbeWell1</t>
  </si>
  <si>
    <t>CondensateProbeWell1</t>
  </si>
  <si>
    <t>CondensateProbeWell2</t>
  </si>
  <si>
    <t>WaterProbeWell2</t>
  </si>
  <si>
    <t>CondensateProbeWell3</t>
  </si>
  <si>
    <t>WaterProbeWell3</t>
  </si>
  <si>
    <t>WellProductionCondensate</t>
  </si>
  <si>
    <t>WellProductionWater</t>
  </si>
  <si>
    <t>CondensateProbeSep1</t>
  </si>
  <si>
    <t>SepProductionCondensate</t>
  </si>
  <si>
    <t>WaterProbeSep1</t>
  </si>
  <si>
    <t>VaporProbeSep1</t>
  </si>
  <si>
    <t>SepProductionWater</t>
  </si>
  <si>
    <t>SepProductionVapor</t>
  </si>
  <si>
    <t>Facility Type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</si>
  <si>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</si>
  <si>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</si>
  <si>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</si>
  <si>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</si>
  <si>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</si>
  <si>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</si>
  <si>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</si>
  <si>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Common</t>
  </si>
  <si>
    <t>Production/FlashFractions/FlashFractionsTest.csv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</si>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</sst>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0" fillId="8" borderId="0" xfId="0" applyFill="1"/>
    <xf numFmtId="0" fontId="0" fillId="9" borderId="0" xfId="0" applyFill="1"/>
    <xf numFmtId="0" fontId="2" fillId="7" borderId="5" xfId="0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1" fontId="0" fillId="9" borderId="0" xfId="0" applyNumberFormat="1" applyFill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8" sqref="B28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100</v>
      </c>
    </row>
    <row r="4" spans="1:2" x14ac:dyDescent="0.25">
      <c r="A4" t="s">
        <v>105</v>
      </c>
    </row>
    <row r="5" spans="1:2" x14ac:dyDescent="0.25">
      <c r="A5" t="s">
        <v>49</v>
      </c>
    </row>
    <row r="6" spans="1:2" x14ac:dyDescent="0.25">
      <c r="A6" t="s">
        <v>122</v>
      </c>
      <c r="B6" t="s">
        <v>130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40" sqref="B40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3.140625" bestFit="1" customWidth="1"/>
    <col min="5" max="5" width="20" bestFit="1" customWidth="1"/>
  </cols>
  <sheetData>
    <row r="1" spans="1:5" s="9" customFormat="1" x14ac:dyDescent="0.25">
      <c r="A1" s="8" t="s">
        <v>4</v>
      </c>
      <c r="B1" s="14" t="s">
        <v>5</v>
      </c>
      <c r="C1" s="8" t="s">
        <v>6</v>
      </c>
      <c r="D1" s="8" t="s">
        <v>104</v>
      </c>
      <c r="E1" s="8" t="s">
        <v>7</v>
      </c>
    </row>
    <row r="2" spans="1:5" x14ac:dyDescent="0.25">
      <c r="A2" t="s">
        <v>56</v>
      </c>
      <c r="B2">
        <v>40.107399999999998</v>
      </c>
      <c r="C2">
        <v>-104.8327</v>
      </c>
      <c r="D2" t="s">
        <v>79</v>
      </c>
      <c r="E2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2A98F-AD36-4DD2-B93B-CF4D8FF70600}">
  <dimension ref="A1:S4"/>
  <sheetViews>
    <sheetView workbookViewId="0">
      <selection activeCell="J11" sqref="J11"/>
    </sheetView>
  </sheetViews>
  <sheetFormatPr defaultRowHeight="15" x14ac:dyDescent="0.25"/>
  <cols>
    <col min="2" max="2" width="15.42578125" bestFit="1" customWidth="1"/>
    <col min="3" max="3" width="12.42578125" bestFit="1" customWidth="1"/>
    <col min="16" max="16" width="8.7109375" bestFit="1" customWidth="1"/>
    <col min="17" max="17" width="19.85546875" bestFit="1" customWidth="1"/>
    <col min="18" max="18" width="61.7109375" bestFit="1" customWidth="1"/>
  </cols>
  <sheetData>
    <row r="1" spans="1:19" s="15" customFormat="1" ht="90" x14ac:dyDescent="0.25">
      <c r="A1" s="15" t="s">
        <v>4</v>
      </c>
      <c r="B1" s="15" t="s">
        <v>7</v>
      </c>
      <c r="C1" s="15" t="s">
        <v>8</v>
      </c>
      <c r="D1" s="15" t="s">
        <v>5</v>
      </c>
      <c r="E1" s="15" t="s">
        <v>6</v>
      </c>
      <c r="F1" s="15" t="s">
        <v>41</v>
      </c>
      <c r="G1" s="15" t="s">
        <v>9</v>
      </c>
      <c r="H1" s="15" t="s">
        <v>10</v>
      </c>
      <c r="I1" s="15" t="s">
        <v>61</v>
      </c>
      <c r="J1" s="15" t="s">
        <v>62</v>
      </c>
      <c r="K1" s="15" t="s">
        <v>63</v>
      </c>
      <c r="L1" s="15" t="s">
        <v>64</v>
      </c>
      <c r="M1" s="15" t="s">
        <v>65</v>
      </c>
      <c r="N1" s="15" t="s">
        <v>66</v>
      </c>
      <c r="O1" s="15" t="s">
        <v>47</v>
      </c>
      <c r="P1" s="15" t="s">
        <v>32</v>
      </c>
      <c r="Q1" s="15" t="s">
        <v>96</v>
      </c>
      <c r="R1" s="15" t="s">
        <v>48</v>
      </c>
      <c r="S1" s="15" t="s">
        <v>50</v>
      </c>
    </row>
    <row r="2" spans="1:19" x14ac:dyDescent="0.25">
      <c r="A2" t="s">
        <v>56</v>
      </c>
      <c r="B2" t="s">
        <v>67</v>
      </c>
      <c r="C2" t="s">
        <v>57</v>
      </c>
      <c r="D2">
        <v>0</v>
      </c>
      <c r="E2">
        <v>0</v>
      </c>
      <c r="F2">
        <v>365</v>
      </c>
      <c r="G2">
        <v>48</v>
      </c>
      <c r="H2">
        <v>5.0000000000000001E-3</v>
      </c>
      <c r="I2">
        <v>2.8885713948854201</v>
      </c>
      <c r="J2">
        <f>76.6813368660829/10</f>
        <v>7.6681336866082903</v>
      </c>
      <c r="K2">
        <v>1</v>
      </c>
      <c r="L2">
        <v>38</v>
      </c>
      <c r="M2">
        <v>8</v>
      </c>
      <c r="N2">
        <v>20</v>
      </c>
      <c r="O2" t="s">
        <v>21</v>
      </c>
      <c r="P2" t="s">
        <v>33</v>
      </c>
      <c r="Q2" t="s">
        <v>80</v>
      </c>
      <c r="R2" t="s">
        <v>79</v>
      </c>
      <c r="S2" t="s">
        <v>97</v>
      </c>
    </row>
    <row r="3" spans="1:19" x14ac:dyDescent="0.25">
      <c r="A3" t="s">
        <v>56</v>
      </c>
      <c r="B3" t="s">
        <v>67</v>
      </c>
      <c r="C3" t="s">
        <v>58</v>
      </c>
      <c r="D3">
        <v>0</v>
      </c>
      <c r="E3">
        <v>0</v>
      </c>
      <c r="F3">
        <v>365</v>
      </c>
      <c r="G3">
        <v>48</v>
      </c>
      <c r="H3">
        <v>5.0000000000000001E-3</v>
      </c>
      <c r="I3">
        <v>2.8885713948854201</v>
      </c>
      <c r="J3">
        <f t="shared" ref="J3:J4" si="0">76.6813368660829/10</f>
        <v>7.6681336866082903</v>
      </c>
      <c r="K3">
        <v>1</v>
      </c>
      <c r="L3">
        <v>38</v>
      </c>
      <c r="M3">
        <v>8</v>
      </c>
      <c r="N3">
        <v>20</v>
      </c>
      <c r="O3" t="s">
        <v>21</v>
      </c>
      <c r="P3" t="s">
        <v>33</v>
      </c>
      <c r="Q3" t="s">
        <v>80</v>
      </c>
      <c r="R3" t="s">
        <v>79</v>
      </c>
      <c r="S3" t="s">
        <v>97</v>
      </c>
    </row>
    <row r="4" spans="1:19" x14ac:dyDescent="0.25">
      <c r="A4" t="s">
        <v>56</v>
      </c>
      <c r="B4" t="s">
        <v>67</v>
      </c>
      <c r="C4" t="s">
        <v>59</v>
      </c>
      <c r="D4">
        <v>0</v>
      </c>
      <c r="E4">
        <v>0</v>
      </c>
      <c r="F4">
        <v>365</v>
      </c>
      <c r="G4">
        <v>48</v>
      </c>
      <c r="H4">
        <v>5.0000000000000001E-3</v>
      </c>
      <c r="I4">
        <v>2.8885713948854201</v>
      </c>
      <c r="J4">
        <f t="shared" si="0"/>
        <v>7.6681336866082903</v>
      </c>
      <c r="K4">
        <v>1</v>
      </c>
      <c r="L4">
        <v>38</v>
      </c>
      <c r="M4">
        <v>8</v>
      </c>
      <c r="N4">
        <v>20</v>
      </c>
      <c r="O4" t="s">
        <v>21</v>
      </c>
      <c r="P4" t="s">
        <v>33</v>
      </c>
      <c r="Q4" t="s">
        <v>80</v>
      </c>
      <c r="R4" t="s">
        <v>79</v>
      </c>
      <c r="S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topLeftCell="B1" workbookViewId="0">
      <selection activeCell="I21" sqref="I21"/>
    </sheetView>
  </sheetViews>
  <sheetFormatPr defaultRowHeight="15" x14ac:dyDescent="0.25"/>
  <cols>
    <col min="1" max="5" width="15.7109375" customWidth="1"/>
    <col min="6" max="11" width="15.7109375" style="3" customWidth="1"/>
    <col min="12" max="12" width="34.85546875" style="3" bestFit="1" customWidth="1"/>
    <col min="13" max="13" width="15.7109375" style="3" customWidth="1"/>
    <col min="14" max="14" width="24.42578125" bestFit="1" customWidth="1"/>
    <col min="15" max="15" width="28.7109375" bestFit="1" customWidth="1"/>
    <col min="16" max="16" width="15.7109375" customWidth="1"/>
  </cols>
  <sheetData>
    <row r="1" spans="1:16" s="2" customFormat="1" ht="60" x14ac:dyDescent="0.25">
      <c r="A1" s="12" t="s">
        <v>4</v>
      </c>
      <c r="B1" s="12" t="s">
        <v>8</v>
      </c>
      <c r="C1" s="13" t="s">
        <v>41</v>
      </c>
      <c r="D1" s="13" t="s">
        <v>9</v>
      </c>
      <c r="E1" s="13" t="s">
        <v>10</v>
      </c>
      <c r="F1" s="12" t="s">
        <v>47</v>
      </c>
      <c r="G1" s="12" t="s">
        <v>22</v>
      </c>
      <c r="H1" s="16" t="s">
        <v>68</v>
      </c>
      <c r="I1" s="16" t="s">
        <v>69</v>
      </c>
      <c r="J1" s="16" t="s">
        <v>70</v>
      </c>
      <c r="K1" s="16" t="s">
        <v>71</v>
      </c>
      <c r="L1" s="16" t="s">
        <v>72</v>
      </c>
      <c r="M1" s="12" t="s">
        <v>34</v>
      </c>
      <c r="N1" s="12" t="s">
        <v>7</v>
      </c>
      <c r="O1" s="12" t="s">
        <v>96</v>
      </c>
      <c r="P1" s="12" t="s">
        <v>50</v>
      </c>
    </row>
    <row r="2" spans="1:16" x14ac:dyDescent="0.25">
      <c r="A2" t="s">
        <v>56</v>
      </c>
      <c r="B2" t="s">
        <v>23</v>
      </c>
      <c r="C2" s="7">
        <v>365</v>
      </c>
      <c r="D2" s="7">
        <v>62</v>
      </c>
      <c r="E2" s="7">
        <v>5.9867000000000002E-3</v>
      </c>
      <c r="F2" s="3" t="s">
        <v>21</v>
      </c>
      <c r="G2" s="3">
        <v>1</v>
      </c>
      <c r="H2" s="17">
        <v>1</v>
      </c>
      <c r="I2" s="17">
        <v>0.01</v>
      </c>
      <c r="J2" s="17">
        <v>1</v>
      </c>
      <c r="K2" s="17">
        <v>20</v>
      </c>
      <c r="L2" s="17" t="s">
        <v>131</v>
      </c>
      <c r="M2" s="3" t="s">
        <v>35</v>
      </c>
      <c r="N2" t="s">
        <v>78</v>
      </c>
      <c r="O2" t="s">
        <v>98</v>
      </c>
      <c r="P2" t="s">
        <v>101</v>
      </c>
    </row>
    <row r="3" spans="1:16" x14ac:dyDescent="0.25">
      <c r="H3"/>
      <c r="I3"/>
      <c r="J3"/>
      <c r="K3"/>
      <c r="L3"/>
    </row>
    <row r="4" spans="1:16" x14ac:dyDescent="0.25">
      <c r="H4"/>
      <c r="I4"/>
      <c r="J4"/>
      <c r="K4"/>
      <c r="L4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>
      <selection activeCell="F10" sqref="F10"/>
    </sheetView>
  </sheetViews>
  <sheetFormatPr defaultRowHeight="15" x14ac:dyDescent="0.25"/>
  <cols>
    <col min="1" max="1" width="9" bestFit="1" customWidth="1"/>
    <col min="2" max="2" width="16" bestFit="1" customWidth="1"/>
    <col min="3" max="3" width="12" style="3" customWidth="1"/>
    <col min="4" max="5" width="12" customWidth="1"/>
    <col min="6" max="6" width="8.5703125" bestFit="1" customWidth="1"/>
    <col min="7" max="7" width="16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13.28515625" bestFit="1" customWidth="1"/>
  </cols>
  <sheetData>
    <row r="1" spans="1:21" s="9" customFormat="1" ht="75" x14ac:dyDescent="0.25">
      <c r="A1" s="8" t="s">
        <v>4</v>
      </c>
      <c r="B1" s="8" t="s">
        <v>8</v>
      </c>
      <c r="C1" s="10" t="s">
        <v>41</v>
      </c>
      <c r="D1" s="10" t="s">
        <v>9</v>
      </c>
      <c r="E1" s="10" t="s">
        <v>10</v>
      </c>
      <c r="F1" s="8" t="s">
        <v>47</v>
      </c>
      <c r="G1" s="8" t="s">
        <v>7</v>
      </c>
      <c r="H1" s="8" t="s">
        <v>96</v>
      </c>
      <c r="I1" s="8" t="s">
        <v>83</v>
      </c>
      <c r="J1" s="26" t="s">
        <v>84</v>
      </c>
      <c r="K1" s="27" t="s">
        <v>85</v>
      </c>
      <c r="L1" s="27" t="s">
        <v>86</v>
      </c>
      <c r="M1" s="21" t="s">
        <v>87</v>
      </c>
      <c r="N1" s="8" t="s">
        <v>88</v>
      </c>
      <c r="O1" s="28" t="s">
        <v>89</v>
      </c>
      <c r="P1" s="28" t="s">
        <v>90</v>
      </c>
      <c r="Q1" s="29" t="s">
        <v>91</v>
      </c>
      <c r="R1" s="30" t="s">
        <v>92</v>
      </c>
      <c r="S1" s="30" t="s">
        <v>93</v>
      </c>
      <c r="T1" s="31" t="s">
        <v>94</v>
      </c>
      <c r="U1" s="8" t="s">
        <v>50</v>
      </c>
    </row>
    <row r="2" spans="1:21" x14ac:dyDescent="0.25">
      <c r="A2" t="s">
        <v>56</v>
      </c>
      <c r="B2" t="s">
        <v>53</v>
      </c>
      <c r="C2" s="6">
        <v>365</v>
      </c>
      <c r="D2" s="6">
        <v>50</v>
      </c>
      <c r="E2" s="6">
        <v>5.2342999999999999E-3</v>
      </c>
      <c r="F2" s="3" t="s">
        <v>73</v>
      </c>
      <c r="G2" t="s">
        <v>95</v>
      </c>
      <c r="H2" t="s">
        <v>80</v>
      </c>
      <c r="I2" t="b">
        <v>0</v>
      </c>
      <c r="J2" s="18">
        <v>0</v>
      </c>
      <c r="K2" s="18">
        <v>0</v>
      </c>
      <c r="L2" s="18">
        <v>0</v>
      </c>
      <c r="M2" s="18">
        <v>0.1</v>
      </c>
      <c r="N2" t="b">
        <v>0</v>
      </c>
      <c r="O2" s="6">
        <v>0</v>
      </c>
      <c r="P2" s="6">
        <v>0</v>
      </c>
      <c r="Q2" s="6">
        <v>0.1</v>
      </c>
      <c r="R2" s="32">
        <v>0</v>
      </c>
      <c r="S2" s="32">
        <v>0</v>
      </c>
      <c r="T2" s="32">
        <v>0.1</v>
      </c>
      <c r="U2" t="s">
        <v>102</v>
      </c>
    </row>
    <row r="8" spans="1:21" x14ac:dyDescent="0.25">
      <c r="C8"/>
    </row>
    <row r="9" spans="1:21" x14ac:dyDescent="0.25">
      <c r="C9"/>
    </row>
    <row r="10" spans="1:21" x14ac:dyDescent="0.25">
      <c r="C10"/>
    </row>
    <row r="11" spans="1:21" x14ac:dyDescent="0.25">
      <c r="C11"/>
    </row>
    <row r="12" spans="1:21" x14ac:dyDescent="0.25">
      <c r="C12"/>
    </row>
    <row r="13" spans="1:21" x14ac:dyDescent="0.25">
      <c r="C13"/>
    </row>
    <row r="14" spans="1:21" x14ac:dyDescent="0.25">
      <c r="C14"/>
    </row>
    <row r="15" spans="1:21" x14ac:dyDescent="0.25">
      <c r="C15"/>
    </row>
    <row r="16" spans="1:21" x14ac:dyDescent="0.25">
      <c r="C16"/>
    </row>
    <row r="17" spans="3:3" x14ac:dyDescent="0.25">
      <c r="C17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O1" workbookViewId="0">
      <selection activeCell="X1" sqref="X1:AC1"/>
    </sheetView>
  </sheetViews>
  <sheetFormatPr defaultRowHeight="15" x14ac:dyDescent="0.25"/>
  <cols>
    <col min="1" max="1" width="8.7109375" bestFit="1" customWidth="1"/>
    <col min="2" max="2" width="19.85546875" bestFit="1" customWidth="1"/>
    <col min="3" max="3" width="26.28515625" bestFit="1" customWidth="1"/>
    <col min="4" max="4" width="16.28515625" bestFit="1" customWidth="1"/>
    <col min="5" max="5" width="12.7109375" bestFit="1" customWidth="1"/>
    <col min="6" max="6" width="10.7109375" bestFit="1" customWidth="1"/>
    <col min="7" max="7" width="16.28515625" bestFit="1" customWidth="1"/>
    <col min="8" max="8" width="11.42578125" bestFit="1" customWidth="1"/>
    <col min="9" max="9" width="8.28515625" bestFit="1" customWidth="1"/>
    <col min="10" max="10" width="10.5703125" bestFit="1" customWidth="1"/>
    <col min="11" max="11" width="11.7109375" customWidth="1"/>
    <col min="12" max="12" width="11.42578125" bestFit="1" customWidth="1"/>
    <col min="13" max="13" width="10.140625" bestFit="1" customWidth="1"/>
    <col min="14" max="14" width="11.5703125" bestFit="1" customWidth="1"/>
    <col min="15" max="15" width="14.7109375" bestFit="1" customWidth="1"/>
    <col min="16" max="16" width="12" customWidth="1"/>
    <col min="17" max="17" width="12" bestFit="1" customWidth="1"/>
    <col min="18" max="19" width="13.140625" bestFit="1" customWidth="1"/>
    <col min="20" max="20" width="11.140625" bestFit="1" customWidth="1"/>
    <col min="21" max="22" width="13.140625" bestFit="1" customWidth="1"/>
    <col min="23" max="23" width="12" bestFit="1" customWidth="1"/>
    <col min="24" max="25" width="13.140625" bestFit="1" customWidth="1"/>
    <col min="26" max="26" width="12.7109375" bestFit="1" customWidth="1"/>
    <col min="27" max="27" width="15.42578125" bestFit="1" customWidth="1"/>
    <col min="28" max="28" width="12.28515625" bestFit="1" customWidth="1"/>
    <col min="29" max="29" width="12.140625" bestFit="1" customWidth="1"/>
    <col min="30" max="30" width="16" bestFit="1" customWidth="1"/>
    <col min="31" max="31" width="45.28515625" bestFit="1" customWidth="1"/>
    <col min="32" max="32" width="14" bestFit="1" customWidth="1"/>
    <col min="33" max="33" width="9.85546875" bestFit="1" customWidth="1"/>
  </cols>
  <sheetData>
    <row r="1" spans="1:32" s="2" customFormat="1" ht="90" x14ac:dyDescent="0.25">
      <c r="A1" s="8" t="s">
        <v>4</v>
      </c>
      <c r="B1" s="8" t="s">
        <v>8</v>
      </c>
      <c r="C1" s="8" t="s">
        <v>47</v>
      </c>
      <c r="D1" s="8" t="s">
        <v>81</v>
      </c>
      <c r="E1" s="19" t="s">
        <v>82</v>
      </c>
      <c r="F1" s="11" t="s">
        <v>9</v>
      </c>
      <c r="G1" s="10" t="s">
        <v>41</v>
      </c>
      <c r="H1" s="10" t="s">
        <v>10</v>
      </c>
      <c r="I1" s="20" t="s">
        <v>54</v>
      </c>
      <c r="J1" s="20" t="s">
        <v>55</v>
      </c>
      <c r="K1" s="20" t="s">
        <v>123</v>
      </c>
      <c r="L1" s="21" t="s">
        <v>43</v>
      </c>
      <c r="M1" s="21" t="s">
        <v>44</v>
      </c>
      <c r="N1" s="21" t="s">
        <v>11</v>
      </c>
      <c r="O1" s="22" t="s">
        <v>45</v>
      </c>
      <c r="P1" s="22" t="s">
        <v>46</v>
      </c>
      <c r="Q1" s="22" t="s">
        <v>12</v>
      </c>
      <c r="R1" s="21" t="s">
        <v>124</v>
      </c>
      <c r="S1" s="21" t="s">
        <v>125</v>
      </c>
      <c r="T1" s="21" t="s">
        <v>126</v>
      </c>
      <c r="U1" s="22" t="s">
        <v>127</v>
      </c>
      <c r="V1" s="22" t="s">
        <v>128</v>
      </c>
      <c r="W1" s="22" t="s">
        <v>129</v>
      </c>
      <c r="X1" s="23" t="s">
        <v>132</v>
      </c>
      <c r="Y1" s="23" t="s">
        <v>133</v>
      </c>
      <c r="Z1" s="23" t="s">
        <v>134</v>
      </c>
      <c r="AA1" s="23" t="s">
        <v>135</v>
      </c>
      <c r="AB1" s="23" t="s">
        <v>136</v>
      </c>
      <c r="AC1" s="23" t="s">
        <v>137</v>
      </c>
      <c r="AD1" s="8" t="s">
        <v>7</v>
      </c>
      <c r="AE1" s="8" t="s">
        <v>96</v>
      </c>
      <c r="AF1" s="8" t="s">
        <v>50</v>
      </c>
    </row>
    <row r="2" spans="1:32" x14ac:dyDescent="0.25">
      <c r="A2" t="s">
        <v>56</v>
      </c>
      <c r="B2" t="s">
        <v>19</v>
      </c>
      <c r="C2" s="3" t="s">
        <v>21</v>
      </c>
      <c r="D2" t="s">
        <v>14</v>
      </c>
      <c r="E2" t="s">
        <v>37</v>
      </c>
      <c r="F2" s="7">
        <v>50</v>
      </c>
      <c r="G2" s="7">
        <v>365</v>
      </c>
      <c r="H2" s="7">
        <v>4.3276E-3</v>
      </c>
      <c r="I2">
        <v>1</v>
      </c>
      <c r="J2">
        <v>1</v>
      </c>
      <c r="K2" t="b">
        <v>1</v>
      </c>
      <c r="L2" s="18">
        <v>0</v>
      </c>
      <c r="M2" s="18">
        <v>365</v>
      </c>
      <c r="N2" s="18">
        <v>0.34166999999999997</v>
      </c>
      <c r="O2" s="24">
        <v>0</v>
      </c>
      <c r="P2" s="24">
        <v>365</v>
      </c>
      <c r="Q2" s="24">
        <v>0.14960999999999999</v>
      </c>
      <c r="R2" s="18">
        <v>3</v>
      </c>
      <c r="S2" s="18">
        <v>7</v>
      </c>
      <c r="T2" s="18">
        <v>0.34166999999999997</v>
      </c>
      <c r="U2" s="24">
        <v>7</v>
      </c>
      <c r="V2" s="24">
        <v>7</v>
      </c>
      <c r="W2" s="24">
        <v>0.14960999999999999</v>
      </c>
      <c r="X2" s="25">
        <v>1</v>
      </c>
      <c r="Y2" s="25">
        <v>2</v>
      </c>
      <c r="Z2" s="25">
        <v>0.5</v>
      </c>
      <c r="AA2" s="33">
        <v>3000</v>
      </c>
      <c r="AB2" s="33">
        <v>10000</v>
      </c>
      <c r="AC2" s="33">
        <v>5000</v>
      </c>
      <c r="AD2" t="s">
        <v>42</v>
      </c>
      <c r="AE2" t="s">
        <v>100</v>
      </c>
      <c r="AF2" t="s">
        <v>103</v>
      </c>
    </row>
    <row r="3" spans="1:32" x14ac:dyDescent="0.25">
      <c r="A3" t="s">
        <v>56</v>
      </c>
      <c r="B3" t="s">
        <v>20</v>
      </c>
      <c r="C3" s="3" t="s">
        <v>73</v>
      </c>
      <c r="D3" t="s">
        <v>15</v>
      </c>
      <c r="E3" t="s">
        <v>36</v>
      </c>
      <c r="F3" s="7">
        <v>50</v>
      </c>
      <c r="G3" s="7">
        <v>365</v>
      </c>
      <c r="H3" s="7">
        <v>4.3276E-3</v>
      </c>
      <c r="I3">
        <v>2</v>
      </c>
      <c r="J3">
        <v>1</v>
      </c>
      <c r="K3" t="b">
        <v>1</v>
      </c>
      <c r="L3" s="18">
        <v>0</v>
      </c>
      <c r="M3" s="18">
        <v>365</v>
      </c>
      <c r="N3" s="18">
        <v>0.34166999999999997</v>
      </c>
      <c r="O3" s="24">
        <v>0</v>
      </c>
      <c r="P3" s="24">
        <v>365</v>
      </c>
      <c r="Q3" s="24">
        <v>0.14960999999999999</v>
      </c>
      <c r="R3" s="18">
        <v>3</v>
      </c>
      <c r="S3" s="18">
        <v>7</v>
      </c>
      <c r="T3" s="18">
        <v>0.34166999999999997</v>
      </c>
      <c r="U3" s="24">
        <v>7</v>
      </c>
      <c r="V3" s="24">
        <v>7</v>
      </c>
      <c r="W3" s="24">
        <v>0.14960999999999999</v>
      </c>
      <c r="X3" s="25">
        <v>1</v>
      </c>
      <c r="Y3" s="25">
        <v>2</v>
      </c>
      <c r="Z3" s="25">
        <v>0.5</v>
      </c>
      <c r="AA3" s="33">
        <v>3000</v>
      </c>
      <c r="AB3" s="33">
        <v>10000</v>
      </c>
      <c r="AC3" s="33">
        <v>5000</v>
      </c>
      <c r="AD3" t="s">
        <v>42</v>
      </c>
      <c r="AE3" t="s">
        <v>99</v>
      </c>
      <c r="AF3" t="s">
        <v>103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73357-2C2F-4CDA-94C7-A88EF50771E9}">
  <dimension ref="A1:D13"/>
  <sheetViews>
    <sheetView workbookViewId="0">
      <selection activeCell="D18" sqref="D18"/>
    </sheetView>
  </sheetViews>
  <sheetFormatPr defaultRowHeight="15" x14ac:dyDescent="0.25"/>
  <cols>
    <col min="1" max="1" width="9.5703125" bestFit="1" customWidth="1"/>
    <col min="2" max="2" width="21.42578125" bestFit="1" customWidth="1"/>
    <col min="3" max="3" width="10.5703125" bestFit="1" customWidth="1"/>
    <col min="4" max="4" width="26" customWidth="1"/>
  </cols>
  <sheetData>
    <row r="1" spans="1:4" x14ac:dyDescent="0.25">
      <c r="A1" t="s">
        <v>4</v>
      </c>
      <c r="B1" t="s">
        <v>8</v>
      </c>
      <c r="C1" t="s">
        <v>7</v>
      </c>
      <c r="D1" t="s">
        <v>106</v>
      </c>
    </row>
    <row r="2" spans="1:4" x14ac:dyDescent="0.25">
      <c r="A2" t="s">
        <v>56</v>
      </c>
      <c r="B2" t="s">
        <v>109</v>
      </c>
      <c r="C2" t="s">
        <v>107</v>
      </c>
      <c r="D2" t="s">
        <v>114</v>
      </c>
    </row>
    <row r="3" spans="1:4" x14ac:dyDescent="0.25">
      <c r="A3" t="s">
        <v>56</v>
      </c>
      <c r="B3" t="s">
        <v>108</v>
      </c>
      <c r="C3" t="s">
        <v>107</v>
      </c>
      <c r="D3" t="s">
        <v>115</v>
      </c>
    </row>
    <row r="5" spans="1:4" x14ac:dyDescent="0.25">
      <c r="A5" t="s">
        <v>56</v>
      </c>
      <c r="B5" t="s">
        <v>110</v>
      </c>
      <c r="C5" t="s">
        <v>107</v>
      </c>
      <c r="D5" t="s">
        <v>114</v>
      </c>
    </row>
    <row r="6" spans="1:4" x14ac:dyDescent="0.25">
      <c r="A6" t="s">
        <v>56</v>
      </c>
      <c r="B6" t="s">
        <v>111</v>
      </c>
      <c r="C6" t="s">
        <v>107</v>
      </c>
      <c r="D6" t="s">
        <v>115</v>
      </c>
    </row>
    <row r="8" spans="1:4" x14ac:dyDescent="0.25">
      <c r="A8" t="s">
        <v>56</v>
      </c>
      <c r="B8" t="s">
        <v>112</v>
      </c>
      <c r="C8" t="s">
        <v>107</v>
      </c>
      <c r="D8" t="s">
        <v>114</v>
      </c>
    </row>
    <row r="9" spans="1:4" x14ac:dyDescent="0.25">
      <c r="A9" t="s">
        <v>56</v>
      </c>
      <c r="B9" t="s">
        <v>113</v>
      </c>
      <c r="C9" t="s">
        <v>107</v>
      </c>
      <c r="D9" t="s">
        <v>115</v>
      </c>
    </row>
    <row r="11" spans="1:4" x14ac:dyDescent="0.25">
      <c r="A11" t="s">
        <v>56</v>
      </c>
      <c r="B11" t="s">
        <v>116</v>
      </c>
      <c r="C11" t="s">
        <v>107</v>
      </c>
      <c r="D11" t="s">
        <v>117</v>
      </c>
    </row>
    <row r="12" spans="1:4" x14ac:dyDescent="0.25">
      <c r="A12" t="s">
        <v>56</v>
      </c>
      <c r="B12" t="s">
        <v>118</v>
      </c>
      <c r="C12" t="s">
        <v>107</v>
      </c>
      <c r="D12" t="s">
        <v>120</v>
      </c>
    </row>
    <row r="13" spans="1:4" x14ac:dyDescent="0.25">
      <c r="A13" t="s">
        <v>56</v>
      </c>
      <c r="B13" t="s">
        <v>119</v>
      </c>
      <c r="C13" t="s">
        <v>107</v>
      </c>
      <c r="D13" t="s">
        <v>121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"/>
  <sheetViews>
    <sheetView workbookViewId="0">
      <selection activeCell="K27" sqref="K2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2.85546875" bestFit="1" customWidth="1"/>
    <col min="4" max="4" width="13.85546875" bestFit="1" customWidth="1"/>
    <col min="5" max="5" width="25" bestFit="1" customWidth="1"/>
    <col min="6" max="6" width="11.5703125" bestFit="1" customWidth="1"/>
    <col min="7" max="7" width="20.85546875" bestFit="1" customWidth="1"/>
  </cols>
  <sheetData>
    <row r="1" spans="1:7" x14ac:dyDescent="0.25">
      <c r="A1" s="1" t="s">
        <v>7</v>
      </c>
      <c r="B1" s="1" t="s">
        <v>26</v>
      </c>
      <c r="C1" s="1" t="s">
        <v>27</v>
      </c>
      <c r="D1" s="1" t="s">
        <v>28</v>
      </c>
      <c r="E1" s="1" t="s">
        <v>29</v>
      </c>
      <c r="F1" s="4" t="s">
        <v>30</v>
      </c>
      <c r="G1" s="4" t="s">
        <v>31</v>
      </c>
    </row>
    <row r="2" spans="1:7" x14ac:dyDescent="0.25">
      <c r="A2" t="s">
        <v>40</v>
      </c>
      <c r="B2" t="s">
        <v>56</v>
      </c>
      <c r="C2" t="s">
        <v>57</v>
      </c>
      <c r="D2" t="s">
        <v>56</v>
      </c>
      <c r="E2" t="s">
        <v>23</v>
      </c>
      <c r="F2" t="s">
        <v>36</v>
      </c>
      <c r="G2" s="5"/>
    </row>
    <row r="3" spans="1:7" x14ac:dyDescent="0.25">
      <c r="A3" t="s">
        <v>40</v>
      </c>
      <c r="B3" t="s">
        <v>56</v>
      </c>
      <c r="C3" t="s">
        <v>58</v>
      </c>
      <c r="D3" t="s">
        <v>56</v>
      </c>
      <c r="E3" t="s">
        <v>23</v>
      </c>
      <c r="F3" t="s">
        <v>36</v>
      </c>
    </row>
    <row r="4" spans="1:7" x14ac:dyDescent="0.25">
      <c r="A4" t="s">
        <v>40</v>
      </c>
      <c r="B4" t="s">
        <v>56</v>
      </c>
      <c r="C4" t="s">
        <v>59</v>
      </c>
      <c r="D4" t="s">
        <v>56</v>
      </c>
      <c r="E4" t="s">
        <v>23</v>
      </c>
      <c r="F4" t="s">
        <v>36</v>
      </c>
    </row>
    <row r="5" spans="1:7" x14ac:dyDescent="0.25">
      <c r="A5" t="s">
        <v>40</v>
      </c>
      <c r="B5" t="s">
        <v>56</v>
      </c>
      <c r="C5" t="s">
        <v>57</v>
      </c>
      <c r="D5" t="s">
        <v>56</v>
      </c>
      <c r="E5" t="s">
        <v>23</v>
      </c>
      <c r="F5" t="s">
        <v>37</v>
      </c>
      <c r="G5" s="5"/>
    </row>
    <row r="6" spans="1:7" x14ac:dyDescent="0.25">
      <c r="A6" t="s">
        <v>40</v>
      </c>
      <c r="B6" t="s">
        <v>56</v>
      </c>
      <c r="C6" t="s">
        <v>58</v>
      </c>
      <c r="D6" t="s">
        <v>56</v>
      </c>
      <c r="E6" t="s">
        <v>23</v>
      </c>
      <c r="F6" t="s">
        <v>37</v>
      </c>
    </row>
    <row r="7" spans="1:7" x14ac:dyDescent="0.25">
      <c r="A7" t="s">
        <v>40</v>
      </c>
      <c r="B7" t="s">
        <v>56</v>
      </c>
      <c r="C7" t="s">
        <v>59</v>
      </c>
      <c r="D7" t="s">
        <v>56</v>
      </c>
      <c r="E7" t="s">
        <v>23</v>
      </c>
      <c r="F7" t="s">
        <v>37</v>
      </c>
    </row>
    <row r="9" spans="1:7" x14ac:dyDescent="0.25">
      <c r="A9" t="s">
        <v>40</v>
      </c>
      <c r="B9" t="s">
        <v>56</v>
      </c>
      <c r="C9" t="s">
        <v>23</v>
      </c>
      <c r="D9" t="s">
        <v>56</v>
      </c>
      <c r="E9" t="s">
        <v>19</v>
      </c>
      <c r="F9" t="s">
        <v>37</v>
      </c>
      <c r="G9" t="s">
        <v>38</v>
      </c>
    </row>
    <row r="11" spans="1:7" x14ac:dyDescent="0.25">
      <c r="A11" t="s">
        <v>40</v>
      </c>
      <c r="B11" t="s">
        <v>56</v>
      </c>
      <c r="C11" t="s">
        <v>23</v>
      </c>
      <c r="D11" t="s">
        <v>56</v>
      </c>
      <c r="E11" t="s">
        <v>20</v>
      </c>
      <c r="F11" t="s">
        <v>36</v>
      </c>
      <c r="G11" t="s">
        <v>74</v>
      </c>
    </row>
    <row r="12" spans="1:7" x14ac:dyDescent="0.25">
      <c r="A12" t="s">
        <v>40</v>
      </c>
      <c r="B12" t="s">
        <v>56</v>
      </c>
      <c r="C12" t="s">
        <v>23</v>
      </c>
      <c r="D12" t="s">
        <v>56</v>
      </c>
      <c r="E12" t="s">
        <v>20</v>
      </c>
      <c r="F12" t="s">
        <v>51</v>
      </c>
      <c r="G12" t="s">
        <v>75</v>
      </c>
    </row>
    <row r="13" spans="1:7" x14ac:dyDescent="0.25">
      <c r="A13" t="s">
        <v>40</v>
      </c>
      <c r="B13" t="s">
        <v>56</v>
      </c>
      <c r="C13" t="s">
        <v>23</v>
      </c>
      <c r="D13" t="s">
        <v>56</v>
      </c>
      <c r="E13" t="s">
        <v>20</v>
      </c>
      <c r="F13" t="s">
        <v>51</v>
      </c>
      <c r="G13" t="s">
        <v>76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18" sqref="F18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16</v>
      </c>
      <c r="B1" s="1" t="s">
        <v>17</v>
      </c>
    </row>
    <row r="2" spans="1:2" x14ac:dyDescent="0.25">
      <c r="A2" t="s">
        <v>18</v>
      </c>
      <c r="B2" t="s">
        <v>18</v>
      </c>
    </row>
    <row r="3" spans="1:2" x14ac:dyDescent="0.25">
      <c r="A3" t="s">
        <v>60</v>
      </c>
      <c r="B3" t="s">
        <v>60</v>
      </c>
    </row>
    <row r="4" spans="1:2" x14ac:dyDescent="0.25">
      <c r="A4" t="s">
        <v>77</v>
      </c>
      <c r="B4" t="s">
        <v>77</v>
      </c>
    </row>
    <row r="5" spans="1:2" x14ac:dyDescent="0.25">
      <c r="A5" t="s">
        <v>52</v>
      </c>
      <c r="B5" t="s">
        <v>52</v>
      </c>
    </row>
    <row r="6" spans="1:2" x14ac:dyDescent="0.25">
      <c r="A6" t="s">
        <v>13</v>
      </c>
      <c r="B6" t="s">
        <v>13</v>
      </c>
    </row>
    <row r="7" spans="1:2" x14ac:dyDescent="0.25">
      <c r="A7" t="s">
        <v>24</v>
      </c>
      <c r="B7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Probes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2024-07-31T14:21:54Z</dcterms:modified>
</cp:coreProperties>
</file>