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/>
  <mc:AlternateContent xmlns:mc="http://schemas.openxmlformats.org/markup-compatibility/2006">
    <mc:Choice Requires="x15">
      <x15ac:absPath xmlns:x15ac="http://schemas.microsoft.com/office/spreadsheetml/2010/11/ac" url="C:\death\METEC_MEET\MEET_2.0_0007_P\input\Studies\IntegratedSites\Integrated_Site_2\"/>
    </mc:Choice>
  </mc:AlternateContent>
  <xr:revisionPtr revIDLastSave="0" documentId="13_ncr:1_{14E41A69-B13D-4A17-BE02-1A4E4FF24970}" xr6:coauthVersionLast="47" xr6:coauthVersionMax="47" xr10:uidLastSave="{00000000-0000-0000-0000-000000000000}"/>
  <bookViews>
    <workbookView xWindow="-120" yWindow="-120" windowWidth="29040" windowHeight="15840" tabRatio="919" xr2:uid="{00000000-000D-0000-FFFF-FFFF00000000}"/>
  </bookViews>
  <sheets>
    <sheet name="Global Simulation Parameters" sheetId="1" r:id="rId1"/>
    <sheet name="Facilities" sheetId="2" r:id="rId2"/>
    <sheet name="Wells" sheetId="3" r:id="rId3"/>
    <sheet name="TwoPhaseSeparators" sheetId="4" r:id="rId4"/>
    <sheet name="ThreePhaseSeparators" sheetId="5" r:id="rId5"/>
    <sheet name="Dehydrators" sheetId="6" r:id="rId6"/>
    <sheet name="Misc" sheetId="8" r:id="rId7"/>
    <sheet name="Compressors" sheetId="7" r:id="rId8"/>
    <sheet name="Flares" sheetId="9" r:id="rId9"/>
    <sheet name="Tank Battery" sheetId="11" r:id="rId10"/>
    <sheet name="Station" sheetId="10" r:id="rId11"/>
    <sheet name="VRUs" sheetId="12" r:id="rId12"/>
    <sheet name="Links" sheetId="13" r:id="rId13"/>
    <sheet name="FFLinks" sheetId="15" r:id="rId14"/>
    <sheet name="Debug" sheetId="16" r:id="rId15"/>
    <sheet name="Master Equipment" sheetId="14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2" i="3" l="1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U3" i="12"/>
  <c r="T3" i="12"/>
  <c r="P3" i="12"/>
  <c r="O3" i="12"/>
  <c r="U2" i="12"/>
  <c r="T2" i="12"/>
  <c r="P2" i="12"/>
  <c r="O2" i="12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2" i="3"/>
  <c r="U6" i="7"/>
  <c r="U7" i="7"/>
  <c r="U8" i="7"/>
  <c r="U5" i="7"/>
  <c r="U4" i="7"/>
  <c r="U3" i="7"/>
  <c r="U2" i="7"/>
  <c r="P3" i="7" l="1"/>
  <c r="P4" i="7"/>
  <c r="P5" i="7"/>
  <c r="P6" i="7"/>
  <c r="P7" i="7"/>
  <c r="P8" i="7"/>
  <c r="P2" i="7"/>
  <c r="O3" i="7"/>
  <c r="O4" i="7"/>
  <c r="O5" i="7"/>
  <c r="O6" i="7"/>
  <c r="O7" i="7"/>
  <c r="O8" i="7"/>
  <c r="O2" i="7"/>
  <c r="T3" i="7" l="1"/>
  <c r="T4" i="7"/>
  <c r="T5" i="7"/>
  <c r="T6" i="7"/>
  <c r="T7" i="7"/>
  <c r="T8" i="7"/>
  <c r="T2" i="7"/>
</calcChain>
</file>

<file path=xl/sharedStrings.xml><?xml version="1.0" encoding="utf-8"?>
<sst xmlns="http://schemas.openxmlformats.org/spreadsheetml/2006/main" count="1393" uniqueCount="266">
  <si>
    <t>Simulation Start Date</t>
  </si>
  <si>
    <t>1/1/2021</t>
  </si>
  <si>
    <t>Simulation Duration [Days]</t>
  </si>
  <si>
    <t>Number of Monte Carlo Iterations</t>
  </si>
  <si>
    <t>Output Directory Template</t>
  </si>
  <si>
    <t>Facility ID</t>
  </si>
  <si>
    <t>Latitude</t>
  </si>
  <si>
    <t>Longitude</t>
  </si>
  <si>
    <t>Model ID</t>
  </si>
  <si>
    <t>facility_2</t>
  </si>
  <si>
    <t>Unit ID</t>
  </si>
  <si>
    <t>Component Count</t>
  </si>
  <si>
    <t>Component pLeak</t>
  </si>
  <si>
    <t>Topology Index</t>
  </si>
  <si>
    <t>well_1</t>
  </si>
  <si>
    <t>well_2</t>
  </si>
  <si>
    <t>well_3</t>
  </si>
  <si>
    <t>well_4</t>
  </si>
  <si>
    <t>well_5</t>
  </si>
  <si>
    <t>well_6</t>
  </si>
  <si>
    <t>well_7</t>
  </si>
  <si>
    <t>well_8</t>
  </si>
  <si>
    <t>well_9</t>
  </si>
  <si>
    <t>well_10</t>
  </si>
  <si>
    <t>well_11</t>
  </si>
  <si>
    <t>well_12</t>
  </si>
  <si>
    <t>well_13</t>
  </si>
  <si>
    <t>well_14</t>
  </si>
  <si>
    <t>well_15</t>
  </si>
  <si>
    <t>well_16</t>
  </si>
  <si>
    <t>well_17</t>
  </si>
  <si>
    <t>well_18</t>
  </si>
  <si>
    <t>well_19</t>
  </si>
  <si>
    <t>well_20</t>
  </si>
  <si>
    <t>well_21</t>
  </si>
  <si>
    <t>well_22</t>
  </si>
  <si>
    <t>well_23</t>
  </si>
  <si>
    <t>well_24</t>
  </si>
  <si>
    <t>well_25</t>
  </si>
  <si>
    <t>well_26</t>
  </si>
  <si>
    <t>well_27</t>
  </si>
  <si>
    <t>well_28</t>
  </si>
  <si>
    <t>well_29</t>
  </si>
  <si>
    <t>well_30</t>
  </si>
  <si>
    <t>well_31</t>
  </si>
  <si>
    <t>well_32</t>
  </si>
  <si>
    <t>well_33</t>
  </si>
  <si>
    <t>well_34</t>
  </si>
  <si>
    <t>well_35</t>
  </si>
  <si>
    <t>well_36</t>
  </si>
  <si>
    <t>well_37</t>
  </si>
  <si>
    <t>well_38</t>
  </si>
  <si>
    <t>well_39</t>
  </si>
  <si>
    <t>well_40</t>
  </si>
  <si>
    <t>well_41</t>
  </si>
  <si>
    <t>well_42</t>
  </si>
  <si>
    <t>well_43</t>
  </si>
  <si>
    <t>well_44</t>
  </si>
  <si>
    <t>well_45</t>
  </si>
  <si>
    <t>well_46</t>
  </si>
  <si>
    <t>well_47</t>
  </si>
  <si>
    <t>well_48</t>
  </si>
  <si>
    <t>well_49</t>
  </si>
  <si>
    <t>well_50</t>
  </si>
  <si>
    <t>dehy_1</t>
  </si>
  <si>
    <t>Average Loading</t>
  </si>
  <si>
    <t>Std Loading</t>
  </si>
  <si>
    <t>Operating Fraction</t>
  </si>
  <si>
    <t>NOP Fraction of NOP/NOD</t>
  </si>
  <si>
    <t>Blowdown Vent pLeak</t>
  </si>
  <si>
    <t>Common Single-Unit Vent pLeak</t>
  </si>
  <si>
    <t>Compressor Starter Vent pLeak</t>
  </si>
  <si>
    <t>comp_1</t>
  </si>
  <si>
    <t>Turbine</t>
  </si>
  <si>
    <t>Centrifugal</t>
  </si>
  <si>
    <t>comp_2</t>
  </si>
  <si>
    <t>comp_3</t>
  </si>
  <si>
    <t>comp_4</t>
  </si>
  <si>
    <t>comp_5</t>
  </si>
  <si>
    <t>comp_6</t>
  </si>
  <si>
    <t>comp_7</t>
  </si>
  <si>
    <t>yardpiping_1</t>
  </si>
  <si>
    <t>pMalfunction</t>
  </si>
  <si>
    <t>pUnlit</t>
  </si>
  <si>
    <t>flare_1</t>
  </si>
  <si>
    <t>Common Station Vent pLeak</t>
  </si>
  <si>
    <t>Static Components (Large Emitter) pLeak</t>
  </si>
  <si>
    <t>Station Vent (Large Emitter) pLeak</t>
  </si>
  <si>
    <t>Tank Thief Hatch pLeak</t>
  </si>
  <si>
    <t>Tank Battery Vent pLeak</t>
  </si>
  <si>
    <t>Tank Battery</t>
  </si>
  <si>
    <t>Water Tank</t>
  </si>
  <si>
    <t>Condensate Tank</t>
  </si>
  <si>
    <t>vru_WATER</t>
  </si>
  <si>
    <t>vru_OIL</t>
  </si>
  <si>
    <t>ME1 Facility</t>
  </si>
  <si>
    <t>ME1 Unit</t>
  </si>
  <si>
    <t>ME2 Facility</t>
  </si>
  <si>
    <t>ME2 Unit</t>
  </si>
  <si>
    <t>linkType</t>
  </si>
  <si>
    <t>Readable Name</t>
  </si>
  <si>
    <t>Tab</t>
  </si>
  <si>
    <t>Facilities</t>
  </si>
  <si>
    <t>Wells</t>
  </si>
  <si>
    <t>TwoPhaseSeparators</t>
  </si>
  <si>
    <t>ThreePhaseSeparators</t>
  </si>
  <si>
    <t>Dehydrators</t>
  </si>
  <si>
    <t>Compressors</t>
  </si>
  <si>
    <t>Flares</t>
  </si>
  <si>
    <t>VRUs</t>
  </si>
  <si>
    <t>Links</t>
  </si>
  <si>
    <t>Electric</t>
  </si>
  <si>
    <t>tank_battery_WATER</t>
  </si>
  <si>
    <t>tank_battery_OIL</t>
  </si>
  <si>
    <t>Air</t>
  </si>
  <si>
    <t>dehy_2</t>
  </si>
  <si>
    <t>dehy_3</t>
  </si>
  <si>
    <t>flare_2</t>
  </si>
  <si>
    <t>Actuator Type</t>
  </si>
  <si>
    <t>Seal Vent pLeak</t>
  </si>
  <si>
    <t>Seal Vent(Large Emitter) pLeak</t>
  </si>
  <si>
    <t>Common Single-unit Vent(Large Emitter) pLeak</t>
  </si>
  <si>
    <t>Station Components Large Emitter (TRUE/FALSE)</t>
  </si>
  <si>
    <t>Station Common Vent (TRUE/FALSE)</t>
  </si>
  <si>
    <t>Dry</t>
  </si>
  <si>
    <t>Facility.json</t>
  </si>
  <si>
    <t>ContinuousSeparator.json</t>
  </si>
  <si>
    <t>Dehydrator.json</t>
  </si>
  <si>
    <t>Compressor.json</t>
  </si>
  <si>
    <t>Flare.json</t>
  </si>
  <si>
    <t>Flow Tag</t>
  </si>
  <si>
    <t>Well</t>
  </si>
  <si>
    <t>Primary Water Takeoff Ratio</t>
  </si>
  <si>
    <t>Flow GC Tag</t>
  </si>
  <si>
    <t>Station.json</t>
  </si>
  <si>
    <t>Outlet FacilityID</t>
  </si>
  <si>
    <t>Outlet UnitID</t>
  </si>
  <si>
    <t>Inlet FacilityID</t>
  </si>
  <si>
    <t>Inlet UnitID</t>
  </si>
  <si>
    <t>Flow Name</t>
  </si>
  <si>
    <t>Flow SecondaryID</t>
  </si>
  <si>
    <t>FFLink.json</t>
  </si>
  <si>
    <t>sep_stage1_1</t>
  </si>
  <si>
    <t>Condensate</t>
  </si>
  <si>
    <t>sep_stage2_1</t>
  </si>
  <si>
    <t>Water</t>
  </si>
  <si>
    <t>Fluid Flows</t>
  </si>
  <si>
    <t>FFLinks</t>
  </si>
  <si>
    <t>secondary_water</t>
  </si>
  <si>
    <t>primary_water</t>
  </si>
  <si>
    <t>DumpID</t>
  </si>
  <si>
    <t>Dump Time</t>
  </si>
  <si>
    <t>FFDumpService.json</t>
  </si>
  <si>
    <t>FFDump50</t>
  </si>
  <si>
    <t>Debug</t>
  </si>
  <si>
    <t>Component Leak Survey Frequency [days]</t>
  </si>
  <si>
    <t>Oil Production [bbl/d]</t>
  </si>
  <si>
    <t>Water Production [bbl/day]</t>
  </si>
  <si>
    <t>Gas Production [Mscf/d]</t>
  </si>
  <si>
    <t>Actuator Type [Air, Electric, Gas]</t>
  </si>
  <si>
    <t>Blowdown Vent MTTRMin [days]</t>
  </si>
  <si>
    <t>Blowdown Vent MTTRMax [days]</t>
  </si>
  <si>
    <t>Common Single-Unit Vent MTTR Min [days]</t>
  </si>
  <si>
    <t>Common Single-Unit Vent MTTR Max [days]</t>
  </si>
  <si>
    <t>Seal Vent MTTR Min [days]</t>
  </si>
  <si>
    <t>Seal Vent MTTR Max [days]</t>
  </si>
  <si>
    <t>Seal Vent(Large Emitter) MTTR Min [days]</t>
  </si>
  <si>
    <t>Seal Vent(Large Emitter) MTTR Max [days]</t>
  </si>
  <si>
    <t>Compressor Starter Vent MTTR Min [days]</t>
  </si>
  <si>
    <t>Compressor Starter Vent MTTR Max [days]</t>
  </si>
  <si>
    <t>Common Single-unit Vent(Large Emitter) MTTR Min [days]</t>
  </si>
  <si>
    <t>Common Single-unit Vent(Large Emitter) MTTR Max [days]</t>
  </si>
  <si>
    <t>Malfunction Duration min [days]</t>
  </si>
  <si>
    <t>Malfunction Duration max [days]</t>
  </si>
  <si>
    <t>Unlit Duration min [days]</t>
  </si>
  <si>
    <t>Unlit Duration max [days]</t>
  </si>
  <si>
    <t>Operating Duration min [days]</t>
  </si>
  <si>
    <t>Operating Duration max [days]</t>
  </si>
  <si>
    <t>Tank Thief Hatch MTTR min [days]</t>
  </si>
  <si>
    <t>Tank Thief Hatch MTTR max [days]</t>
  </si>
  <si>
    <t>Tank Battery Vent MTTR min [days]</t>
  </si>
  <si>
    <t>Tank Battery Vent MTTR max [days]</t>
  </si>
  <si>
    <t>Flow Gas Composition</t>
  </si>
  <si>
    <t>Combustion GC Name</t>
  </si>
  <si>
    <t>Vapor</t>
  </si>
  <si>
    <t>Starter Event Emission Duration [s]</t>
  </si>
  <si>
    <t>Starter Event Emission Volume [SCF]</t>
  </si>
  <si>
    <t>Blowdown Event Duration [s]</t>
  </si>
  <si>
    <t>Blowdown Event Emission Volume [SCF]</t>
  </si>
  <si>
    <t>Blowdown Vent Component Count</t>
  </si>
  <si>
    <t>Common Single-Unit Vent Component Count</t>
  </si>
  <si>
    <t>Seal Vent Component Count</t>
  </si>
  <si>
    <t>Seal Vent(Large Emitter) Component Count</t>
  </si>
  <si>
    <t>Compressor Starter Vent Component Count</t>
  </si>
  <si>
    <t>Common Single-unit Vent(Large Emitter) Component Count</t>
  </si>
  <si>
    <t>FixedSource.json</t>
  </si>
  <si>
    <t>Malfunction Destruction Efficiency</t>
  </si>
  <si>
    <t>Unlit Destruction Efficiency</t>
  </si>
  <si>
    <t>Operating Destruction Efficiency</t>
  </si>
  <si>
    <t>Activity / Emission Factor Name</t>
  </si>
  <si>
    <t>Factor Tag</t>
  </si>
  <si>
    <t>Stage2</t>
  </si>
  <si>
    <t>Stage1</t>
  </si>
  <si>
    <t>Number of Thief Hatches</t>
  </si>
  <si>
    <t>Number of Vents</t>
  </si>
  <si>
    <t>Compressor Type [Centrifugal, Reciprocating, Other]</t>
  </si>
  <si>
    <t>Starter Type [Gas, Electric, Air]</t>
  </si>
  <si>
    <t>Stuck Dump Valve Component Count</t>
  </si>
  <si>
    <t>Stuck Dump Valve pLeak</t>
  </si>
  <si>
    <t>Stuck Dump Valve Failure Duration Min [days]</t>
  </si>
  <si>
    <t>Stuck Dump Valve Failure Duration Max [days]</t>
  </si>
  <si>
    <t>Fraction of Flash Released</t>
  </si>
  <si>
    <t>Overpressure Vents Large Emitter MTTR min [days]</t>
  </si>
  <si>
    <t>Overpressure Vents Large Emitter MTTR max [days]</t>
  </si>
  <si>
    <t>Overpressure Vents Large Emitter pLeak</t>
  </si>
  <si>
    <t>input/Studies/IntegratedSites/Integrated_Site_2/CompositionsSite2.csv</t>
  </si>
  <si>
    <t>FlashFractions/FlashFractionsTest.csv</t>
  </si>
  <si>
    <t>Overpressure Vents Large Emitter Threshold [scfh]</t>
  </si>
  <si>
    <t>Inlet Flow At Max Primary Flow [scfh]</t>
  </si>
  <si>
    <t>Max Primary Outlet Flow [scfh]</t>
  </si>
  <si>
    <t>TankBattery.json</t>
  </si>
  <si>
    <t>Driver Type [Turbine, 4SLB, 2SLB, 4SRB, Electric]</t>
  </si>
  <si>
    <t>Seal Type [Dry, Wet, Rod Packing]</t>
  </si>
  <si>
    <t>Single Unit Vents [TRUE, FALSE]</t>
  </si>
  <si>
    <t>Battery Type [Condensate Tank, Water Tank]</t>
  </si>
  <si>
    <t>Fluid [Water, Condensate]</t>
  </si>
  <si>
    <t>Actuator Type [Gas, Electric, Air]</t>
  </si>
  <si>
    <t>condensate_flow</t>
  </si>
  <si>
    <t>stuck_dump_valve_vapor</t>
  </si>
  <si>
    <t>water_flash</t>
  </si>
  <si>
    <t>condensate_flash</t>
  </si>
  <si>
    <t>tank_flash</t>
  </si>
  <si>
    <t>tank_gas_outlet</t>
  </si>
  <si>
    <t>Default-LeakGc</t>
  </si>
  <si>
    <t>Facility Common Vent [TRUE/FALSE]</t>
  </si>
  <si>
    <t>Common Facility Vent Component Count</t>
  </si>
  <si>
    <t>Common Facility Vent MTTR Min [days]</t>
  </si>
  <si>
    <t>Common Facility Vent MTTR Max [days]</t>
  </si>
  <si>
    <t>Common Facility Vent pLeak</t>
  </si>
  <si>
    <t>Facility Components Large Emitter [TRUE/FALSE]</t>
  </si>
  <si>
    <t>Facility Components (Large Emitter) MTTR Min [days]</t>
  </si>
  <si>
    <t>Facility Components (Large Emitter) MTTR Max [days]</t>
  </si>
  <si>
    <t>Facility Components (Large Emitter) pLeak</t>
  </si>
  <si>
    <t>Facility Vent (Large Emitter) MTTR Min [days]</t>
  </si>
  <si>
    <t>Facility Vent (Large Emitter) MTTR Max [days]</t>
  </si>
  <si>
    <t>Facility Vent (Large Emitter) pLeak</t>
  </si>
  <si>
    <t>Misc</t>
  </si>
  <si>
    <t>MiscWellpad.json</t>
  </si>
  <si>
    <t>Total Duration Lower Limit [Hours]</t>
  </si>
  <si>
    <t>Total Duration Upper Limit [Hours]</t>
  </si>
  <si>
    <t>Compressor Power [kW]</t>
  </si>
  <si>
    <t>Engine Efficiency</t>
  </si>
  <si>
    <t>Exhaust Factors</t>
  </si>
  <si>
    <t>DestEff</t>
  </si>
  <si>
    <t>Well-Condensate.Stage1-Flash</t>
  </si>
  <si>
    <t>Well-Condensate.Stage1-Condensate.Stage2-Flash</t>
  </si>
  <si>
    <t>Leak GC Name</t>
  </si>
  <si>
    <t>Well-Condensate.Stage1-Condensate.Stage2-Condensate.Tank-Flash</t>
  </si>
  <si>
    <t>Well-Water.Stage1-Water.Stage2-Water.Tank-Flash</t>
  </si>
  <si>
    <t>gef_sep</t>
  </si>
  <si>
    <t>gef_dehy</t>
  </si>
  <si>
    <t>gef_misc</t>
  </si>
  <si>
    <t>gef_comp</t>
  </si>
  <si>
    <t>gef_flare</t>
  </si>
  <si>
    <t>gef_tank</t>
  </si>
  <si>
    <t>Leak Gas Composition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</si>
</sst>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EB9C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2">
    <xf numFmtId="0" fontId="0" fillId="0" borderId="0"/>
    <xf numFmtId="0" fontId="4" fillId="4" borderId="0" applyNumberFormat="0" applyBorder="0" applyAlignment="0" applyProtection="0"/>
  </cellStyleXfs>
  <cellXfs count="6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1" fontId="0" fillId="0" borderId="0" xfId="0" applyNumberFormat="1"/>
    <xf numFmtId="1" fontId="1" fillId="0" borderId="1" xfId="0" applyNumberFormat="1" applyFont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0" borderId="2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3" borderId="1" xfId="0" applyFont="1" applyFill="1" applyBorder="1" applyAlignment="1">
      <alignment horizontal="center" wrapText="1"/>
    </xf>
    <xf numFmtId="0" fontId="0" fillId="3" borderId="0" xfId="0" applyFill="1"/>
    <xf numFmtId="0" fontId="1" fillId="3" borderId="1" xfId="0" applyFont="1" applyFill="1" applyBorder="1" applyAlignment="1">
      <alignment horizontal="center" vertical="center" wrapText="1"/>
    </xf>
    <xf numFmtId="0" fontId="0" fillId="5" borderId="0" xfId="0" applyFill="1"/>
    <xf numFmtId="0" fontId="6" fillId="6" borderId="0" xfId="1" applyFont="1" applyFill="1"/>
    <xf numFmtId="0" fontId="0" fillId="6" borderId="0" xfId="0" applyFill="1"/>
    <xf numFmtId="0" fontId="6" fillId="7" borderId="0" xfId="1" applyFont="1" applyFill="1"/>
    <xf numFmtId="0" fontId="0" fillId="7" borderId="0" xfId="0" applyFill="1"/>
    <xf numFmtId="0" fontId="0" fillId="8" borderId="0" xfId="0" applyFill="1"/>
    <xf numFmtId="0" fontId="1" fillId="0" borderId="1" xfId="0" applyFont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0" fillId="9" borderId="0" xfId="0" applyFill="1"/>
    <xf numFmtId="0" fontId="2" fillId="8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5" fillId="6" borderId="1" xfId="1" applyFont="1" applyFill="1" applyBorder="1" applyAlignment="1">
      <alignment horizontal="center" vertical="center" wrapText="1"/>
    </xf>
    <xf numFmtId="0" fontId="5" fillId="7" borderId="1" xfId="1" applyFont="1" applyFill="1" applyBorder="1" applyAlignment="1">
      <alignment horizontal="center" vertical="center" wrapText="1"/>
    </xf>
    <xf numFmtId="0" fontId="6" fillId="7" borderId="0" xfId="0" applyFont="1" applyFill="1"/>
    <xf numFmtId="0" fontId="1" fillId="10" borderId="1" xfId="0" applyFont="1" applyFill="1" applyBorder="1" applyAlignment="1">
      <alignment horizontal="center" vertical="center" wrapText="1"/>
    </xf>
    <xf numFmtId="0" fontId="0" fillId="10" borderId="0" xfId="0" applyFill="1"/>
    <xf numFmtId="16" fontId="0" fillId="0" borderId="0" xfId="0" applyNumberFormat="1"/>
    <xf numFmtId="0" fontId="2" fillId="11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1" fillId="14" borderId="1" xfId="0" applyFont="1" applyFill="1" applyBorder="1" applyAlignment="1">
      <alignment horizontal="center" vertical="center" wrapText="1"/>
    </xf>
    <xf numFmtId="0" fontId="1" fillId="15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0" fillId="8" borderId="0" xfId="0" applyFill="1" applyAlignment="1">
      <alignment horizontal="center"/>
    </xf>
    <xf numFmtId="0" fontId="0" fillId="11" borderId="0" xfId="0" applyFill="1" applyAlignment="1">
      <alignment horizontal="center"/>
    </xf>
    <xf numFmtId="0" fontId="0" fillId="11" borderId="0" xfId="0" applyFill="1"/>
    <xf numFmtId="0" fontId="0" fillId="12" borderId="0" xfId="0" applyFill="1"/>
    <xf numFmtId="0" fontId="0" fillId="13" borderId="0" xfId="0" applyFill="1" applyAlignment="1">
      <alignment horizontal="center"/>
    </xf>
    <xf numFmtId="0" fontId="0" fillId="13" borderId="0" xfId="0" applyFill="1"/>
    <xf numFmtId="0" fontId="0" fillId="14" borderId="0" xfId="0" applyFill="1"/>
    <xf numFmtId="0" fontId="0" fillId="15" borderId="0" xfId="0" applyFill="1"/>
    <xf numFmtId="0" fontId="1" fillId="2" borderId="1" xfId="0" applyFont="1" applyFill="1" applyBorder="1" applyAlignment="1">
      <alignment horizontal="center" vertical="center" wrapText="1"/>
    </xf>
    <xf numFmtId="1" fontId="0" fillId="13" borderId="0" xfId="0" applyNumberFormat="1" applyFill="1"/>
    <xf numFmtId="0" fontId="2" fillId="3" borderId="1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5" fillId="5" borderId="1" xfId="1" applyFont="1" applyFill="1" applyBorder="1" applyAlignment="1">
      <alignment horizontal="center" vertical="center" wrapText="1"/>
    </xf>
  </cellXfs>
  <cellStyles count="2">
    <cellStyle name="Neutral" xfId="1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22" sqref="B22"/>
    </sheetView>
  </sheetViews>
  <sheetFormatPr defaultRowHeight="15" x14ac:dyDescent="0.25"/>
  <cols>
    <col min="1" max="1" width="31.5703125" bestFit="1" customWidth="1"/>
    <col min="2" max="2" width="66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30</v>
      </c>
    </row>
    <row r="3" spans="1:2" x14ac:dyDescent="0.25">
      <c r="A3" t="s">
        <v>3</v>
      </c>
      <c r="B3">
        <v>2</v>
      </c>
    </row>
    <row r="4" spans="1:2" x14ac:dyDescent="0.25">
      <c r="A4" t="s">
        <v>4</v>
      </c>
    </row>
    <row r="5" spans="1:2" x14ac:dyDescent="0.25">
      <c r="A5" t="s">
        <v>199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"/>
  <sheetViews>
    <sheetView workbookViewId="0">
      <selection activeCell="E27" sqref="E27"/>
    </sheetView>
  </sheetViews>
  <sheetFormatPr defaultRowHeight="15" x14ac:dyDescent="0.25"/>
  <cols>
    <col min="1" max="1" width="8.42578125" bestFit="1" customWidth="1"/>
    <col min="2" max="2" width="7.85546875" bestFit="1" customWidth="1"/>
    <col min="3" max="3" width="9.5703125" customWidth="1"/>
    <col min="4" max="4" width="20" bestFit="1" customWidth="1"/>
    <col min="5" max="5" width="66.7109375" bestFit="1" customWidth="1"/>
  </cols>
  <sheetData>
    <row r="1" spans="1:5" s="2" customFormat="1" ht="30" x14ac:dyDescent="0.25">
      <c r="A1" s="3" t="s">
        <v>5</v>
      </c>
      <c r="B1" s="3" t="s">
        <v>6</v>
      </c>
      <c r="C1" s="3" t="s">
        <v>7</v>
      </c>
      <c r="D1" s="3" t="s">
        <v>8</v>
      </c>
      <c r="E1" s="3" t="s">
        <v>265</v>
      </c>
    </row>
    <row r="2" spans="1:5" x14ac:dyDescent="0.25">
      <c r="A2" t="s">
        <v>9</v>
      </c>
      <c r="B2">
        <v>0</v>
      </c>
      <c r="C2">
        <v>0</v>
      </c>
      <c r="D2" t="s">
        <v>125</v>
      </c>
      <c r="E2" t="s">
        <v>215</v>
      </c>
    </row>
  </sheetData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1"/>
  <sheetViews>
    <sheetView workbookViewId="0">
      <selection activeCell="G24" sqref="G24"/>
    </sheetView>
  </sheetViews>
  <sheetFormatPr defaultRowHeight="15" x14ac:dyDescent="0.25"/>
  <cols>
    <col min="1" max="1" width="10" customWidth="1"/>
    <col min="2" max="2" width="7.28515625" bestFit="1" customWidth="1"/>
    <col min="3" max="4" width="12.7109375" bestFit="1" customWidth="1"/>
    <col min="5" max="6" width="12" style="5" bestFit="1" customWidth="1"/>
    <col min="7" max="7" width="11.28515625" style="5" customWidth="1"/>
    <col min="8" max="9" width="21" customWidth="1"/>
    <col min="10" max="10" width="66.7109375" bestFit="1" customWidth="1"/>
  </cols>
  <sheetData>
    <row r="1" spans="1:10" s="2" customFormat="1" ht="45" x14ac:dyDescent="0.25">
      <c r="A1" s="3" t="s">
        <v>5</v>
      </c>
      <c r="B1" s="3" t="s">
        <v>10</v>
      </c>
      <c r="C1" s="3" t="s">
        <v>6</v>
      </c>
      <c r="D1" s="3" t="s">
        <v>7</v>
      </c>
      <c r="E1" s="6" t="s">
        <v>156</v>
      </c>
      <c r="F1" s="6" t="s">
        <v>158</v>
      </c>
      <c r="G1" s="6" t="s">
        <v>157</v>
      </c>
      <c r="H1" s="3" t="s">
        <v>8</v>
      </c>
      <c r="I1" s="3" t="s">
        <v>130</v>
      </c>
      <c r="J1" s="3" t="s">
        <v>182</v>
      </c>
    </row>
    <row r="2" spans="1:10" x14ac:dyDescent="0.25">
      <c r="A2" t="s">
        <v>9</v>
      </c>
      <c r="B2" t="s">
        <v>14</v>
      </c>
      <c r="C2">
        <v>2.3294860860725141E-2</v>
      </c>
      <c r="D2">
        <v>-7.4913100913639582E-3</v>
      </c>
      <c r="E2">
        <f ca="1">ROUND(10000*(1-(RAND()-0.5)*2*0.25),0)</f>
        <v>10246</v>
      </c>
      <c r="F2">
        <f ca="1">ROUND(25000*(1-(RAND()-0.5)*2*0.25),0)</f>
        <v>25819</v>
      </c>
      <c r="G2">
        <f ca="1">ROUND(1000*(1-(RAND()-0.5)*2*0.25),0)</f>
        <v>1210</v>
      </c>
      <c r="H2" t="s">
        <v>195</v>
      </c>
      <c r="I2" t="s">
        <v>131</v>
      </c>
      <c r="J2" t="s">
        <v>215</v>
      </c>
    </row>
    <row r="3" spans="1:10" x14ac:dyDescent="0.25">
      <c r="A3" t="s">
        <v>9</v>
      </c>
      <c r="B3" t="s">
        <v>15</v>
      </c>
      <c r="C3">
        <v>4.1337033247870497E-2</v>
      </c>
      <c r="D3">
        <v>8.7627744502494775E-3</v>
      </c>
      <c r="E3">
        <f t="shared" ref="E3:E51" ca="1" si="0">ROUND(10000*(1-(RAND()-0.5)*2*0.25),0)</f>
        <v>11068</v>
      </c>
      <c r="F3">
        <f t="shared" ref="F3:F51" ca="1" si="1">ROUND(25000*(1-(RAND()-0.5)*2*0.25),0)</f>
        <v>28382</v>
      </c>
      <c r="G3">
        <f t="shared" ref="G3:G51" ca="1" si="2">ROUND(1000*(1-(RAND()-0.5)*2*0.25),0)</f>
        <v>1120</v>
      </c>
      <c r="H3" t="s">
        <v>195</v>
      </c>
      <c r="I3" t="s">
        <v>131</v>
      </c>
      <c r="J3" t="s">
        <v>215</v>
      </c>
    </row>
    <row r="4" spans="1:10" x14ac:dyDescent="0.25">
      <c r="A4" t="s">
        <v>9</v>
      </c>
      <c r="B4" t="s">
        <v>16</v>
      </c>
      <c r="C4">
        <v>4.4328060275027739E-2</v>
      </c>
      <c r="D4">
        <v>4.0545122222005459E-2</v>
      </c>
      <c r="E4">
        <f t="shared" ca="1" si="0"/>
        <v>12156</v>
      </c>
      <c r="F4">
        <f t="shared" ca="1" si="1"/>
        <v>24190</v>
      </c>
      <c r="G4">
        <f t="shared" ca="1" si="2"/>
        <v>933</v>
      </c>
      <c r="H4" t="s">
        <v>195</v>
      </c>
      <c r="I4" t="s">
        <v>131</v>
      </c>
      <c r="J4" t="s">
        <v>215</v>
      </c>
    </row>
    <row r="5" spans="1:10" x14ac:dyDescent="0.25">
      <c r="A5" t="s">
        <v>9</v>
      </c>
      <c r="B5" t="s">
        <v>17</v>
      </c>
      <c r="C5">
        <v>3.2996563121939507E-2</v>
      </c>
      <c r="D5">
        <v>5.5593547322533047E-4</v>
      </c>
      <c r="E5">
        <f t="shared" ca="1" si="0"/>
        <v>9501</v>
      </c>
      <c r="F5">
        <f t="shared" ca="1" si="1"/>
        <v>28709</v>
      </c>
      <c r="G5">
        <f t="shared" ca="1" si="2"/>
        <v>815</v>
      </c>
      <c r="H5" t="s">
        <v>195</v>
      </c>
      <c r="I5" t="s">
        <v>131</v>
      </c>
      <c r="J5" t="s">
        <v>215</v>
      </c>
    </row>
    <row r="6" spans="1:10" x14ac:dyDescent="0.25">
      <c r="A6" t="s">
        <v>9</v>
      </c>
      <c r="B6" t="s">
        <v>18</v>
      </c>
      <c r="C6">
        <v>1.9467897506661159E-2</v>
      </c>
      <c r="D6">
        <v>-4.237987403127811E-2</v>
      </c>
      <c r="E6">
        <f t="shared" ca="1" si="0"/>
        <v>8141</v>
      </c>
      <c r="F6">
        <f t="shared" ca="1" si="1"/>
        <v>20809</v>
      </c>
      <c r="G6">
        <f t="shared" ca="1" si="2"/>
        <v>857</v>
      </c>
      <c r="H6" t="s">
        <v>195</v>
      </c>
      <c r="I6" t="s">
        <v>131</v>
      </c>
      <c r="J6" t="s">
        <v>215</v>
      </c>
    </row>
    <row r="7" spans="1:10" x14ac:dyDescent="0.25">
      <c r="A7" t="s">
        <v>9</v>
      </c>
      <c r="B7" t="s">
        <v>19</v>
      </c>
      <c r="C7">
        <v>1.443588824758596E-2</v>
      </c>
      <c r="D7">
        <v>-2.682045549843597E-2</v>
      </c>
      <c r="E7">
        <f t="shared" ca="1" si="0"/>
        <v>12251</v>
      </c>
      <c r="F7">
        <f t="shared" ca="1" si="1"/>
        <v>26450</v>
      </c>
      <c r="G7">
        <f t="shared" ca="1" si="2"/>
        <v>753</v>
      </c>
      <c r="H7" t="s">
        <v>195</v>
      </c>
      <c r="I7" t="s">
        <v>131</v>
      </c>
      <c r="J7" t="s">
        <v>215</v>
      </c>
    </row>
    <row r="8" spans="1:10" x14ac:dyDescent="0.25">
      <c r="A8" t="s">
        <v>9</v>
      </c>
      <c r="B8" t="s">
        <v>20</v>
      </c>
      <c r="C8">
        <v>-1.325540420956608E-2</v>
      </c>
      <c r="D8">
        <v>-1.730338938825926E-2</v>
      </c>
      <c r="E8">
        <f t="shared" ca="1" si="0"/>
        <v>11212</v>
      </c>
      <c r="F8">
        <f t="shared" ca="1" si="1"/>
        <v>30613</v>
      </c>
      <c r="G8">
        <f t="shared" ca="1" si="2"/>
        <v>1116</v>
      </c>
      <c r="H8" t="s">
        <v>195</v>
      </c>
      <c r="I8" t="s">
        <v>131</v>
      </c>
      <c r="J8" t="s">
        <v>215</v>
      </c>
    </row>
    <row r="9" spans="1:10" x14ac:dyDescent="0.25">
      <c r="A9" t="s">
        <v>9</v>
      </c>
      <c r="B9" t="s">
        <v>21</v>
      </c>
      <c r="C9">
        <v>5.1248872463676501E-3</v>
      </c>
      <c r="D9">
        <v>-2.8432612078756511E-2</v>
      </c>
      <c r="E9">
        <f t="shared" ca="1" si="0"/>
        <v>7816</v>
      </c>
      <c r="F9">
        <f t="shared" ca="1" si="1"/>
        <v>24130</v>
      </c>
      <c r="G9">
        <f t="shared" ca="1" si="2"/>
        <v>895</v>
      </c>
      <c r="H9" t="s">
        <v>195</v>
      </c>
      <c r="I9" t="s">
        <v>131</v>
      </c>
      <c r="J9" t="s">
        <v>215</v>
      </c>
    </row>
    <row r="10" spans="1:10" x14ac:dyDescent="0.25">
      <c r="A10" t="s">
        <v>9</v>
      </c>
      <c r="B10" t="s">
        <v>22</v>
      </c>
      <c r="C10">
        <v>-1.558155698012843E-2</v>
      </c>
      <c r="D10">
        <v>-2.5385748456779149E-2</v>
      </c>
      <c r="E10">
        <f t="shared" ca="1" si="0"/>
        <v>10050</v>
      </c>
      <c r="F10">
        <f t="shared" ca="1" si="1"/>
        <v>19803</v>
      </c>
      <c r="G10">
        <f t="shared" ca="1" si="2"/>
        <v>753</v>
      </c>
      <c r="H10" t="s">
        <v>195</v>
      </c>
      <c r="I10" t="s">
        <v>131</v>
      </c>
      <c r="J10" t="s">
        <v>215</v>
      </c>
    </row>
    <row r="11" spans="1:10" x14ac:dyDescent="0.25">
      <c r="A11" t="s">
        <v>9</v>
      </c>
      <c r="B11" t="s">
        <v>23</v>
      </c>
      <c r="C11">
        <v>4.1702848483745773E-2</v>
      </c>
      <c r="D11">
        <v>-1.607603296636018E-2</v>
      </c>
      <c r="E11">
        <f t="shared" ca="1" si="0"/>
        <v>9430</v>
      </c>
      <c r="F11">
        <f t="shared" ca="1" si="1"/>
        <v>24857</v>
      </c>
      <c r="G11">
        <f t="shared" ca="1" si="2"/>
        <v>1072</v>
      </c>
      <c r="H11" t="s">
        <v>195</v>
      </c>
      <c r="I11" t="s">
        <v>131</v>
      </c>
      <c r="J11" t="s">
        <v>215</v>
      </c>
    </row>
    <row r="12" spans="1:10" x14ac:dyDescent="0.25">
      <c r="A12" t="s">
        <v>9</v>
      </c>
      <c r="B12" t="s">
        <v>24</v>
      </c>
      <c r="C12">
        <v>3.2258659013897219E-2</v>
      </c>
      <c r="D12">
        <v>-4.1624309760175872E-2</v>
      </c>
      <c r="E12">
        <f t="shared" ca="1" si="0"/>
        <v>8029</v>
      </c>
      <c r="F12">
        <f t="shared" ca="1" si="1"/>
        <v>29319</v>
      </c>
      <c r="G12">
        <f t="shared" ca="1" si="2"/>
        <v>1137</v>
      </c>
      <c r="H12" t="s">
        <v>195</v>
      </c>
      <c r="I12" t="s">
        <v>131</v>
      </c>
      <c r="J12" t="s">
        <v>215</v>
      </c>
    </row>
    <row r="13" spans="1:10" x14ac:dyDescent="0.25">
      <c r="A13" t="s">
        <v>9</v>
      </c>
      <c r="B13" t="s">
        <v>25</v>
      </c>
      <c r="C13">
        <v>9.9651615847969801E-3</v>
      </c>
      <c r="D13">
        <v>-4.121896250581792E-2</v>
      </c>
      <c r="E13">
        <f t="shared" ca="1" si="0"/>
        <v>11045</v>
      </c>
      <c r="F13">
        <f t="shared" ca="1" si="1"/>
        <v>29794</v>
      </c>
      <c r="G13">
        <f t="shared" ca="1" si="2"/>
        <v>751</v>
      </c>
      <c r="H13" t="s">
        <v>195</v>
      </c>
      <c r="I13" t="s">
        <v>131</v>
      </c>
      <c r="J13" t="s">
        <v>215</v>
      </c>
    </row>
    <row r="14" spans="1:10" x14ac:dyDescent="0.25">
      <c r="A14" t="s">
        <v>9</v>
      </c>
      <c r="B14" t="s">
        <v>26</v>
      </c>
      <c r="C14">
        <v>-3.6961970608307991E-2</v>
      </c>
      <c r="D14">
        <v>3.657392109141442E-2</v>
      </c>
      <c r="E14">
        <f t="shared" ca="1" si="0"/>
        <v>10680</v>
      </c>
      <c r="F14">
        <f t="shared" ca="1" si="1"/>
        <v>28728</v>
      </c>
      <c r="G14">
        <f t="shared" ca="1" si="2"/>
        <v>915</v>
      </c>
      <c r="H14" t="s">
        <v>195</v>
      </c>
      <c r="I14" t="s">
        <v>131</v>
      </c>
      <c r="J14" t="s">
        <v>215</v>
      </c>
    </row>
    <row r="15" spans="1:10" x14ac:dyDescent="0.25">
      <c r="A15" t="s">
        <v>9</v>
      </c>
      <c r="B15" t="s">
        <v>27</v>
      </c>
      <c r="C15">
        <v>-2.0834984263513049E-2</v>
      </c>
      <c r="D15">
        <v>4.2031131674970072E-2</v>
      </c>
      <c r="E15">
        <f t="shared" ca="1" si="0"/>
        <v>7575</v>
      </c>
      <c r="F15">
        <f t="shared" ca="1" si="1"/>
        <v>29174</v>
      </c>
      <c r="G15">
        <f t="shared" ca="1" si="2"/>
        <v>1063</v>
      </c>
      <c r="H15" t="s">
        <v>195</v>
      </c>
      <c r="I15" t="s">
        <v>131</v>
      </c>
      <c r="J15" t="s">
        <v>215</v>
      </c>
    </row>
    <row r="16" spans="1:10" x14ac:dyDescent="0.25">
      <c r="A16" t="s">
        <v>9</v>
      </c>
      <c r="B16" t="s">
        <v>28</v>
      </c>
      <c r="C16">
        <v>-3.3533800183848217E-2</v>
      </c>
      <c r="D16">
        <v>-2.95655284193421E-2</v>
      </c>
      <c r="E16">
        <f t="shared" ca="1" si="0"/>
        <v>11202</v>
      </c>
      <c r="F16">
        <f t="shared" ca="1" si="1"/>
        <v>29351</v>
      </c>
      <c r="G16">
        <f t="shared" ca="1" si="2"/>
        <v>1241</v>
      </c>
      <c r="H16" t="s">
        <v>195</v>
      </c>
      <c r="I16" t="s">
        <v>131</v>
      </c>
      <c r="J16" t="s">
        <v>215</v>
      </c>
    </row>
    <row r="17" spans="1:10" x14ac:dyDescent="0.25">
      <c r="A17" t="s">
        <v>9</v>
      </c>
      <c r="B17" t="s">
        <v>29</v>
      </c>
      <c r="C17">
        <v>-1.9218192491747801E-2</v>
      </c>
      <c r="D17">
        <v>-1.787325942920388E-2</v>
      </c>
      <c r="E17">
        <f t="shared" ca="1" si="0"/>
        <v>8160</v>
      </c>
      <c r="F17">
        <f t="shared" ca="1" si="1"/>
        <v>19185</v>
      </c>
      <c r="G17">
        <f t="shared" ca="1" si="2"/>
        <v>947</v>
      </c>
      <c r="H17" t="s">
        <v>195</v>
      </c>
      <c r="I17" t="s">
        <v>131</v>
      </c>
      <c r="J17" t="s">
        <v>215</v>
      </c>
    </row>
    <row r="18" spans="1:10" x14ac:dyDescent="0.25">
      <c r="A18" t="s">
        <v>9</v>
      </c>
      <c r="B18" t="s">
        <v>30</v>
      </c>
      <c r="C18">
        <v>1.755913640199103E-2</v>
      </c>
      <c r="D18">
        <v>-4.039028694033038E-2</v>
      </c>
      <c r="E18">
        <f t="shared" ca="1" si="0"/>
        <v>9381</v>
      </c>
      <c r="F18">
        <f t="shared" ca="1" si="1"/>
        <v>24913</v>
      </c>
      <c r="G18">
        <f t="shared" ca="1" si="2"/>
        <v>1160</v>
      </c>
      <c r="H18" t="s">
        <v>195</v>
      </c>
      <c r="I18" t="s">
        <v>131</v>
      </c>
      <c r="J18" t="s">
        <v>215</v>
      </c>
    </row>
    <row r="19" spans="1:10" x14ac:dyDescent="0.25">
      <c r="A19" t="s">
        <v>9</v>
      </c>
      <c r="B19" t="s">
        <v>31</v>
      </c>
      <c r="C19">
        <v>-3.8380954049051813E-2</v>
      </c>
      <c r="D19">
        <v>-3.3084955916834032E-2</v>
      </c>
      <c r="E19">
        <f t="shared" ca="1" si="0"/>
        <v>11727</v>
      </c>
      <c r="F19">
        <f t="shared" ca="1" si="1"/>
        <v>23560</v>
      </c>
      <c r="G19">
        <f t="shared" ca="1" si="2"/>
        <v>952</v>
      </c>
      <c r="H19" t="s">
        <v>195</v>
      </c>
      <c r="I19" t="s">
        <v>131</v>
      </c>
      <c r="J19" t="s">
        <v>215</v>
      </c>
    </row>
    <row r="20" spans="1:10" x14ac:dyDescent="0.25">
      <c r="A20" t="s">
        <v>9</v>
      </c>
      <c r="B20" t="s">
        <v>32</v>
      </c>
      <c r="C20">
        <v>3.0637312421954631E-2</v>
      </c>
      <c r="D20">
        <v>3.7472231501771501E-2</v>
      </c>
      <c r="E20">
        <f t="shared" ca="1" si="0"/>
        <v>7727</v>
      </c>
      <c r="F20">
        <f t="shared" ca="1" si="1"/>
        <v>21948</v>
      </c>
      <c r="G20">
        <f t="shared" ca="1" si="2"/>
        <v>1105</v>
      </c>
      <c r="H20" t="s">
        <v>195</v>
      </c>
      <c r="I20" t="s">
        <v>131</v>
      </c>
      <c r="J20" t="s">
        <v>215</v>
      </c>
    </row>
    <row r="21" spans="1:10" x14ac:dyDescent="0.25">
      <c r="A21" t="s">
        <v>9</v>
      </c>
      <c r="B21" t="s">
        <v>33</v>
      </c>
      <c r="C21">
        <v>-3.271789992703808E-2</v>
      </c>
      <c r="D21">
        <v>-1.0148349159775451E-2</v>
      </c>
      <c r="E21">
        <f t="shared" ca="1" si="0"/>
        <v>10136</v>
      </c>
      <c r="F21">
        <f t="shared" ca="1" si="1"/>
        <v>23458</v>
      </c>
      <c r="G21">
        <f t="shared" ca="1" si="2"/>
        <v>1174</v>
      </c>
      <c r="H21" t="s">
        <v>195</v>
      </c>
      <c r="I21" t="s">
        <v>131</v>
      </c>
      <c r="J21" t="s">
        <v>215</v>
      </c>
    </row>
    <row r="22" spans="1:10" x14ac:dyDescent="0.25">
      <c r="A22" t="s">
        <v>9</v>
      </c>
      <c r="B22" t="s">
        <v>34</v>
      </c>
      <c r="C22">
        <v>2.3935878256059809E-2</v>
      </c>
      <c r="D22">
        <v>-1.2112810534846189E-3</v>
      </c>
      <c r="E22">
        <f t="shared" ca="1" si="0"/>
        <v>10901</v>
      </c>
      <c r="F22">
        <f t="shared" ca="1" si="1"/>
        <v>20982</v>
      </c>
      <c r="G22">
        <f t="shared" ca="1" si="2"/>
        <v>835</v>
      </c>
      <c r="H22" t="s">
        <v>195</v>
      </c>
      <c r="I22" t="s">
        <v>131</v>
      </c>
      <c r="J22" t="s">
        <v>215</v>
      </c>
    </row>
    <row r="23" spans="1:10" x14ac:dyDescent="0.25">
      <c r="A23" t="s">
        <v>9</v>
      </c>
      <c r="B23" t="s">
        <v>35</v>
      </c>
      <c r="C23">
        <v>-2.928795572038477E-2</v>
      </c>
      <c r="D23">
        <v>1.2809075826828409E-2</v>
      </c>
      <c r="E23">
        <f t="shared" ca="1" si="0"/>
        <v>9782</v>
      </c>
      <c r="F23">
        <f t="shared" ca="1" si="1"/>
        <v>28292</v>
      </c>
      <c r="G23">
        <f t="shared" ca="1" si="2"/>
        <v>1087</v>
      </c>
      <c r="H23" t="s">
        <v>195</v>
      </c>
      <c r="I23" t="s">
        <v>131</v>
      </c>
      <c r="J23" t="s">
        <v>215</v>
      </c>
    </row>
    <row r="24" spans="1:10" x14ac:dyDescent="0.25">
      <c r="A24" t="s">
        <v>9</v>
      </c>
      <c r="B24" t="s">
        <v>36</v>
      </c>
      <c r="C24">
        <v>-4.2386023205128812E-2</v>
      </c>
      <c r="D24">
        <v>-3.2705478158293187E-2</v>
      </c>
      <c r="E24">
        <f t="shared" ca="1" si="0"/>
        <v>9155</v>
      </c>
      <c r="F24">
        <f t="shared" ca="1" si="1"/>
        <v>19715</v>
      </c>
      <c r="G24">
        <f t="shared" ca="1" si="2"/>
        <v>787</v>
      </c>
      <c r="H24" t="s">
        <v>195</v>
      </c>
      <c r="I24" t="s">
        <v>131</v>
      </c>
      <c r="J24" t="s">
        <v>215</v>
      </c>
    </row>
    <row r="25" spans="1:10" x14ac:dyDescent="0.25">
      <c r="A25" t="s">
        <v>9</v>
      </c>
      <c r="B25" t="s">
        <v>37</v>
      </c>
      <c r="C25">
        <v>3.1335630742304159E-2</v>
      </c>
      <c r="D25">
        <v>-1.2818948204362E-2</v>
      </c>
      <c r="E25">
        <f t="shared" ca="1" si="0"/>
        <v>10641</v>
      </c>
      <c r="F25">
        <f t="shared" ca="1" si="1"/>
        <v>22658</v>
      </c>
      <c r="G25">
        <f t="shared" ca="1" si="2"/>
        <v>885</v>
      </c>
      <c r="H25" t="s">
        <v>195</v>
      </c>
      <c r="I25" t="s">
        <v>131</v>
      </c>
      <c r="J25" t="s">
        <v>215</v>
      </c>
    </row>
    <row r="26" spans="1:10" x14ac:dyDescent="0.25">
      <c r="A26" t="s">
        <v>9</v>
      </c>
      <c r="B26" t="s">
        <v>38</v>
      </c>
      <c r="C26">
        <v>7.2104822580840427E-3</v>
      </c>
      <c r="D26">
        <v>-4.0127081650628893E-2</v>
      </c>
      <c r="E26">
        <f t="shared" ca="1" si="0"/>
        <v>12331</v>
      </c>
      <c r="F26">
        <f t="shared" ca="1" si="1"/>
        <v>25919</v>
      </c>
      <c r="G26">
        <f t="shared" ca="1" si="2"/>
        <v>1042</v>
      </c>
      <c r="H26" t="s">
        <v>195</v>
      </c>
      <c r="I26" t="s">
        <v>131</v>
      </c>
      <c r="J26" t="s">
        <v>215</v>
      </c>
    </row>
    <row r="27" spans="1:10" x14ac:dyDescent="0.25">
      <c r="A27" t="s">
        <v>9</v>
      </c>
      <c r="B27" t="s">
        <v>39</v>
      </c>
      <c r="C27">
        <v>5.2474248243558801E-3</v>
      </c>
      <c r="D27">
        <v>-4.2022090534311239E-2</v>
      </c>
      <c r="E27">
        <f t="shared" ca="1" si="0"/>
        <v>12350</v>
      </c>
      <c r="F27">
        <f t="shared" ca="1" si="1"/>
        <v>21292</v>
      </c>
      <c r="G27">
        <f t="shared" ca="1" si="2"/>
        <v>1247</v>
      </c>
      <c r="H27" t="s">
        <v>195</v>
      </c>
      <c r="I27" t="s">
        <v>131</v>
      </c>
      <c r="J27" t="s">
        <v>215</v>
      </c>
    </row>
    <row r="28" spans="1:10" x14ac:dyDescent="0.25">
      <c r="A28" t="s">
        <v>9</v>
      </c>
      <c r="B28" t="s">
        <v>40</v>
      </c>
      <c r="C28">
        <v>2.6554472815487031E-2</v>
      </c>
      <c r="D28">
        <v>2.29216150749771E-2</v>
      </c>
      <c r="E28">
        <f t="shared" ca="1" si="0"/>
        <v>8521</v>
      </c>
      <c r="F28">
        <f t="shared" ca="1" si="1"/>
        <v>23757</v>
      </c>
      <c r="G28">
        <f t="shared" ca="1" si="2"/>
        <v>960</v>
      </c>
      <c r="H28" t="s">
        <v>195</v>
      </c>
      <c r="I28" t="s">
        <v>131</v>
      </c>
      <c r="J28" t="s">
        <v>215</v>
      </c>
    </row>
    <row r="29" spans="1:10" x14ac:dyDescent="0.25">
      <c r="A29" t="s">
        <v>9</v>
      </c>
      <c r="B29" t="s">
        <v>41</v>
      </c>
      <c r="C29">
        <v>-1.8947468607721028E-2</v>
      </c>
      <c r="D29">
        <v>-1.0956841442845719E-3</v>
      </c>
      <c r="E29">
        <f t="shared" ca="1" si="0"/>
        <v>10891</v>
      </c>
      <c r="F29">
        <f t="shared" ca="1" si="1"/>
        <v>29872</v>
      </c>
      <c r="G29">
        <f t="shared" ca="1" si="2"/>
        <v>1221</v>
      </c>
      <c r="H29" t="s">
        <v>195</v>
      </c>
      <c r="I29" t="s">
        <v>131</v>
      </c>
      <c r="J29" t="s">
        <v>215</v>
      </c>
    </row>
    <row r="30" spans="1:10" x14ac:dyDescent="0.25">
      <c r="A30" t="s">
        <v>9</v>
      </c>
      <c r="B30" t="s">
        <v>42</v>
      </c>
      <c r="C30">
        <v>-2.7911992486168168E-2</v>
      </c>
      <c r="D30">
        <v>-2.54720234814599E-2</v>
      </c>
      <c r="E30">
        <f t="shared" ca="1" si="0"/>
        <v>9415</v>
      </c>
      <c r="F30">
        <f t="shared" ca="1" si="1"/>
        <v>22598</v>
      </c>
      <c r="G30">
        <f t="shared" ca="1" si="2"/>
        <v>1186</v>
      </c>
      <c r="H30" t="s">
        <v>195</v>
      </c>
      <c r="I30" t="s">
        <v>131</v>
      </c>
      <c r="J30" t="s">
        <v>215</v>
      </c>
    </row>
    <row r="31" spans="1:10" x14ac:dyDescent="0.25">
      <c r="A31" t="s">
        <v>9</v>
      </c>
      <c r="B31" t="s">
        <v>43</v>
      </c>
      <c r="C31">
        <v>-9.025962551387684E-3</v>
      </c>
      <c r="D31">
        <v>8.9548665976741364E-3</v>
      </c>
      <c r="E31">
        <f t="shared" ca="1" si="0"/>
        <v>9762</v>
      </c>
      <c r="F31">
        <f t="shared" ca="1" si="1"/>
        <v>21514</v>
      </c>
      <c r="G31">
        <f t="shared" ca="1" si="2"/>
        <v>941</v>
      </c>
      <c r="H31" t="s">
        <v>195</v>
      </c>
      <c r="I31" t="s">
        <v>131</v>
      </c>
      <c r="J31" t="s">
        <v>215</v>
      </c>
    </row>
    <row r="32" spans="1:10" x14ac:dyDescent="0.25">
      <c r="A32" t="s">
        <v>9</v>
      </c>
      <c r="B32" t="s">
        <v>44</v>
      </c>
      <c r="C32">
        <v>-1.707078077590347E-3</v>
      </c>
      <c r="D32">
        <v>2.348815622699631E-2</v>
      </c>
      <c r="E32">
        <f t="shared" ca="1" si="0"/>
        <v>8787</v>
      </c>
      <c r="F32">
        <f t="shared" ca="1" si="1"/>
        <v>24509</v>
      </c>
      <c r="G32">
        <f t="shared" ca="1" si="2"/>
        <v>853</v>
      </c>
      <c r="H32" t="s">
        <v>195</v>
      </c>
      <c r="I32" t="s">
        <v>131</v>
      </c>
      <c r="J32" t="s">
        <v>215</v>
      </c>
    </row>
    <row r="33" spans="1:10" x14ac:dyDescent="0.25">
      <c r="A33" t="s">
        <v>9</v>
      </c>
      <c r="B33" t="s">
        <v>45</v>
      </c>
      <c r="C33">
        <v>2.7377161061502758E-2</v>
      </c>
      <c r="D33">
        <v>-2.1753283656448571E-2</v>
      </c>
      <c r="E33">
        <f t="shared" ca="1" si="0"/>
        <v>11137</v>
      </c>
      <c r="F33">
        <f t="shared" ca="1" si="1"/>
        <v>22223</v>
      </c>
      <c r="G33">
        <f t="shared" ca="1" si="2"/>
        <v>886</v>
      </c>
      <c r="H33" t="s">
        <v>195</v>
      </c>
      <c r="I33" t="s">
        <v>131</v>
      </c>
      <c r="J33" t="s">
        <v>215</v>
      </c>
    </row>
    <row r="34" spans="1:10" x14ac:dyDescent="0.25">
      <c r="A34" t="s">
        <v>9</v>
      </c>
      <c r="B34" t="s">
        <v>46</v>
      </c>
      <c r="C34">
        <v>4.0877176904253312E-2</v>
      </c>
      <c r="D34">
        <v>-2.9477013789081529E-2</v>
      </c>
      <c r="E34">
        <f t="shared" ca="1" si="0"/>
        <v>10117</v>
      </c>
      <c r="F34">
        <f t="shared" ca="1" si="1"/>
        <v>26014</v>
      </c>
      <c r="G34">
        <f t="shared" ca="1" si="2"/>
        <v>1031</v>
      </c>
      <c r="H34" t="s">
        <v>195</v>
      </c>
      <c r="I34" t="s">
        <v>131</v>
      </c>
      <c r="J34" t="s">
        <v>215</v>
      </c>
    </row>
    <row r="35" spans="1:10" x14ac:dyDescent="0.25">
      <c r="A35" t="s">
        <v>9</v>
      </c>
      <c r="B35" t="s">
        <v>47</v>
      </c>
      <c r="C35">
        <v>-2.9026987649151799E-2</v>
      </c>
      <c r="D35">
        <v>1.246280945368934E-2</v>
      </c>
      <c r="E35">
        <f t="shared" ca="1" si="0"/>
        <v>12432</v>
      </c>
      <c r="F35">
        <f t="shared" ca="1" si="1"/>
        <v>26803</v>
      </c>
      <c r="G35">
        <f t="shared" ca="1" si="2"/>
        <v>1129</v>
      </c>
      <c r="H35" t="s">
        <v>195</v>
      </c>
      <c r="I35" t="s">
        <v>131</v>
      </c>
      <c r="J35" t="s">
        <v>215</v>
      </c>
    </row>
    <row r="36" spans="1:10" x14ac:dyDescent="0.25">
      <c r="A36" t="s">
        <v>9</v>
      </c>
      <c r="B36" t="s">
        <v>48</v>
      </c>
      <c r="C36">
        <v>3.6483537752443049E-2</v>
      </c>
      <c r="D36">
        <v>4.2768617809344472E-3</v>
      </c>
      <c r="E36">
        <f t="shared" ca="1" si="0"/>
        <v>8242</v>
      </c>
      <c r="F36">
        <f t="shared" ca="1" si="1"/>
        <v>31117</v>
      </c>
      <c r="G36">
        <f t="shared" ca="1" si="2"/>
        <v>1050</v>
      </c>
      <c r="H36" t="s">
        <v>195</v>
      </c>
      <c r="I36" t="s">
        <v>131</v>
      </c>
      <c r="J36" t="s">
        <v>215</v>
      </c>
    </row>
    <row r="37" spans="1:10" x14ac:dyDescent="0.25">
      <c r="A37" t="s">
        <v>9</v>
      </c>
      <c r="B37" t="s">
        <v>49</v>
      </c>
      <c r="C37">
        <v>2.435755587702344E-4</v>
      </c>
      <c r="D37">
        <v>-6.3282437637377908E-3</v>
      </c>
      <c r="E37">
        <f t="shared" ca="1" si="0"/>
        <v>8848</v>
      </c>
      <c r="F37">
        <f t="shared" ca="1" si="1"/>
        <v>29267</v>
      </c>
      <c r="G37">
        <f t="shared" ca="1" si="2"/>
        <v>970</v>
      </c>
      <c r="H37" t="s">
        <v>195</v>
      </c>
      <c r="I37" t="s">
        <v>131</v>
      </c>
      <c r="J37" t="s">
        <v>215</v>
      </c>
    </row>
    <row r="38" spans="1:10" x14ac:dyDescent="0.25">
      <c r="A38" t="s">
        <v>9</v>
      </c>
      <c r="B38" t="s">
        <v>50</v>
      </c>
      <c r="C38">
        <v>1.56234781409396E-2</v>
      </c>
      <c r="D38">
        <v>3.7431505871541017E-2</v>
      </c>
      <c r="E38">
        <f t="shared" ca="1" si="0"/>
        <v>9867</v>
      </c>
      <c r="F38">
        <f t="shared" ca="1" si="1"/>
        <v>23408</v>
      </c>
      <c r="G38">
        <f t="shared" ca="1" si="2"/>
        <v>1135</v>
      </c>
      <c r="H38" t="s">
        <v>195</v>
      </c>
      <c r="I38" t="s">
        <v>131</v>
      </c>
      <c r="J38" t="s">
        <v>215</v>
      </c>
    </row>
    <row r="39" spans="1:10" x14ac:dyDescent="0.25">
      <c r="A39" t="s">
        <v>9</v>
      </c>
      <c r="B39" t="s">
        <v>51</v>
      </c>
      <c r="C39">
        <v>-3.004958380828315E-2</v>
      </c>
      <c r="D39">
        <v>9.2947343291167814E-3</v>
      </c>
      <c r="E39">
        <f t="shared" ca="1" si="0"/>
        <v>7505</v>
      </c>
      <c r="F39">
        <f t="shared" ca="1" si="1"/>
        <v>19380</v>
      </c>
      <c r="G39">
        <f t="shared" ca="1" si="2"/>
        <v>1056</v>
      </c>
      <c r="H39" t="s">
        <v>195</v>
      </c>
      <c r="I39" t="s">
        <v>131</v>
      </c>
      <c r="J39" t="s">
        <v>215</v>
      </c>
    </row>
    <row r="40" spans="1:10" x14ac:dyDescent="0.25">
      <c r="A40" t="s">
        <v>9</v>
      </c>
      <c r="B40" t="s">
        <v>52</v>
      </c>
      <c r="C40">
        <v>4.0682980629690571E-2</v>
      </c>
      <c r="D40">
        <v>-1.188958562049728E-2</v>
      </c>
      <c r="E40">
        <f t="shared" ca="1" si="0"/>
        <v>7727</v>
      </c>
      <c r="F40">
        <f t="shared" ca="1" si="1"/>
        <v>24146</v>
      </c>
      <c r="G40">
        <f t="shared" ca="1" si="2"/>
        <v>1118</v>
      </c>
      <c r="H40" t="s">
        <v>195</v>
      </c>
      <c r="I40" t="s">
        <v>131</v>
      </c>
      <c r="J40" t="s">
        <v>215</v>
      </c>
    </row>
    <row r="41" spans="1:10" x14ac:dyDescent="0.25">
      <c r="A41" t="s">
        <v>9</v>
      </c>
      <c r="B41" t="s">
        <v>53</v>
      </c>
      <c r="C41">
        <v>-9.1487916203129398E-3</v>
      </c>
      <c r="D41">
        <v>3.3805082800551813E-2</v>
      </c>
      <c r="E41">
        <f t="shared" ca="1" si="0"/>
        <v>8192</v>
      </c>
      <c r="F41">
        <f t="shared" ca="1" si="1"/>
        <v>24295</v>
      </c>
      <c r="G41">
        <f t="shared" ca="1" si="2"/>
        <v>821</v>
      </c>
      <c r="H41" t="s">
        <v>195</v>
      </c>
      <c r="I41" t="s">
        <v>131</v>
      </c>
      <c r="J41" t="s">
        <v>215</v>
      </c>
    </row>
    <row r="42" spans="1:10" x14ac:dyDescent="0.25">
      <c r="A42" t="s">
        <v>9</v>
      </c>
      <c r="B42" t="s">
        <v>54</v>
      </c>
      <c r="C42">
        <v>3.8541257806683937E-2</v>
      </c>
      <c r="D42">
        <v>1.734341019892887E-2</v>
      </c>
      <c r="E42">
        <f t="shared" ca="1" si="0"/>
        <v>9998</v>
      </c>
      <c r="F42">
        <f t="shared" ca="1" si="1"/>
        <v>21249</v>
      </c>
      <c r="G42">
        <f t="shared" ca="1" si="2"/>
        <v>1230</v>
      </c>
      <c r="H42" t="s">
        <v>195</v>
      </c>
      <c r="I42" t="s">
        <v>131</v>
      </c>
      <c r="J42" t="s">
        <v>215</v>
      </c>
    </row>
    <row r="43" spans="1:10" x14ac:dyDescent="0.25">
      <c r="A43" t="s">
        <v>9</v>
      </c>
      <c r="B43" t="s">
        <v>55</v>
      </c>
      <c r="C43">
        <v>-4.423118384714534E-2</v>
      </c>
      <c r="D43">
        <v>-2.7816426404080972E-3</v>
      </c>
      <c r="E43">
        <f t="shared" ca="1" si="0"/>
        <v>10524</v>
      </c>
      <c r="F43">
        <f t="shared" ca="1" si="1"/>
        <v>27575</v>
      </c>
      <c r="G43">
        <f t="shared" ca="1" si="2"/>
        <v>954</v>
      </c>
      <c r="H43" t="s">
        <v>195</v>
      </c>
      <c r="I43" t="s">
        <v>131</v>
      </c>
      <c r="J43" t="s">
        <v>215</v>
      </c>
    </row>
    <row r="44" spans="1:10" x14ac:dyDescent="0.25">
      <c r="A44" t="s">
        <v>9</v>
      </c>
      <c r="B44" t="s">
        <v>56</v>
      </c>
      <c r="C44">
        <v>4.0412022906215803E-2</v>
      </c>
      <c r="D44">
        <v>4.1082436820607131E-2</v>
      </c>
      <c r="E44">
        <f t="shared" ca="1" si="0"/>
        <v>10283</v>
      </c>
      <c r="F44">
        <f t="shared" ca="1" si="1"/>
        <v>28102</v>
      </c>
      <c r="G44">
        <f t="shared" ca="1" si="2"/>
        <v>757</v>
      </c>
      <c r="H44" t="s">
        <v>195</v>
      </c>
      <c r="I44" t="s">
        <v>131</v>
      </c>
      <c r="J44" t="s">
        <v>215</v>
      </c>
    </row>
    <row r="45" spans="1:10" x14ac:dyDescent="0.25">
      <c r="A45" t="s">
        <v>9</v>
      </c>
      <c r="B45" t="s">
        <v>57</v>
      </c>
      <c r="C45">
        <v>2.2082858031955279E-2</v>
      </c>
      <c r="D45">
        <v>4.010226580128249E-2</v>
      </c>
      <c r="E45">
        <f t="shared" ca="1" si="0"/>
        <v>11445</v>
      </c>
      <c r="F45">
        <f t="shared" ca="1" si="1"/>
        <v>23716</v>
      </c>
      <c r="G45">
        <f t="shared" ca="1" si="2"/>
        <v>1066</v>
      </c>
      <c r="H45" t="s">
        <v>195</v>
      </c>
      <c r="I45" t="s">
        <v>131</v>
      </c>
      <c r="J45" t="s">
        <v>215</v>
      </c>
    </row>
    <row r="46" spans="1:10" x14ac:dyDescent="0.25">
      <c r="A46" t="s">
        <v>9</v>
      </c>
      <c r="B46" t="s">
        <v>58</v>
      </c>
      <c r="C46">
        <v>-1.98639631988171E-2</v>
      </c>
      <c r="D46">
        <v>2.7988305000543969E-2</v>
      </c>
      <c r="E46">
        <f t="shared" ca="1" si="0"/>
        <v>11880</v>
      </c>
      <c r="F46">
        <f t="shared" ca="1" si="1"/>
        <v>21598</v>
      </c>
      <c r="G46">
        <f t="shared" ca="1" si="2"/>
        <v>828</v>
      </c>
      <c r="H46" t="s">
        <v>195</v>
      </c>
      <c r="I46" t="s">
        <v>131</v>
      </c>
      <c r="J46" t="s">
        <v>215</v>
      </c>
    </row>
    <row r="47" spans="1:10" x14ac:dyDescent="0.25">
      <c r="A47" t="s">
        <v>9</v>
      </c>
      <c r="B47" t="s">
        <v>59</v>
      </c>
      <c r="C47">
        <v>-3.772479556709047E-2</v>
      </c>
      <c r="D47">
        <v>-1.6970646008070078E-2</v>
      </c>
      <c r="E47">
        <f t="shared" ca="1" si="0"/>
        <v>8492</v>
      </c>
      <c r="F47">
        <f t="shared" ca="1" si="1"/>
        <v>24679</v>
      </c>
      <c r="G47">
        <f t="shared" ca="1" si="2"/>
        <v>1051</v>
      </c>
      <c r="H47" t="s">
        <v>195</v>
      </c>
      <c r="I47" t="s">
        <v>131</v>
      </c>
      <c r="J47" t="s">
        <v>215</v>
      </c>
    </row>
    <row r="48" spans="1:10" x14ac:dyDescent="0.25">
      <c r="A48" t="s">
        <v>9</v>
      </c>
      <c r="B48" t="s">
        <v>60</v>
      </c>
      <c r="C48">
        <v>3.9758880133120282E-2</v>
      </c>
      <c r="D48">
        <v>7.1295554256213898E-3</v>
      </c>
      <c r="E48">
        <f t="shared" ca="1" si="0"/>
        <v>9626</v>
      </c>
      <c r="F48">
        <f t="shared" ca="1" si="1"/>
        <v>22277</v>
      </c>
      <c r="G48">
        <f t="shared" ca="1" si="2"/>
        <v>928</v>
      </c>
      <c r="H48" t="s">
        <v>195</v>
      </c>
      <c r="I48" t="s">
        <v>131</v>
      </c>
      <c r="J48" t="s">
        <v>215</v>
      </c>
    </row>
    <row r="49" spans="1:10" x14ac:dyDescent="0.25">
      <c r="A49" t="s">
        <v>9</v>
      </c>
      <c r="B49" t="s">
        <v>61</v>
      </c>
      <c r="C49">
        <v>2.9568274798860351E-2</v>
      </c>
      <c r="D49">
        <v>-2.209712659062919E-2</v>
      </c>
      <c r="E49">
        <f t="shared" ca="1" si="0"/>
        <v>10193</v>
      </c>
      <c r="F49">
        <f t="shared" ca="1" si="1"/>
        <v>26915</v>
      </c>
      <c r="G49">
        <f t="shared" ca="1" si="2"/>
        <v>1181</v>
      </c>
      <c r="H49" t="s">
        <v>195</v>
      </c>
      <c r="I49" t="s">
        <v>131</v>
      </c>
      <c r="J49" t="s">
        <v>215</v>
      </c>
    </row>
    <row r="50" spans="1:10" x14ac:dyDescent="0.25">
      <c r="A50" t="s">
        <v>9</v>
      </c>
      <c r="B50" t="s">
        <v>62</v>
      </c>
      <c r="C50">
        <v>1.097289207579364E-2</v>
      </c>
      <c r="D50">
        <v>7.7969116196757041E-3</v>
      </c>
      <c r="E50">
        <f t="shared" ca="1" si="0"/>
        <v>12158</v>
      </c>
      <c r="F50">
        <f t="shared" ca="1" si="1"/>
        <v>31190</v>
      </c>
      <c r="G50">
        <f t="shared" ca="1" si="2"/>
        <v>917</v>
      </c>
      <c r="H50" t="s">
        <v>195</v>
      </c>
      <c r="I50" t="s">
        <v>131</v>
      </c>
      <c r="J50" t="s">
        <v>215</v>
      </c>
    </row>
    <row r="51" spans="1:10" x14ac:dyDescent="0.25">
      <c r="A51" t="s">
        <v>9</v>
      </c>
      <c r="B51" t="s">
        <v>63</v>
      </c>
      <c r="C51">
        <v>1.381357113603888E-2</v>
      </c>
      <c r="D51">
        <v>3.434658437771311E-2</v>
      </c>
      <c r="E51">
        <f t="shared" ca="1" si="0"/>
        <v>10181</v>
      </c>
      <c r="F51">
        <f t="shared" ca="1" si="1"/>
        <v>28331</v>
      </c>
      <c r="G51">
        <f t="shared" ca="1" si="2"/>
        <v>1080</v>
      </c>
      <c r="H51" t="s">
        <v>195</v>
      </c>
      <c r="I51" t="s">
        <v>131</v>
      </c>
      <c r="J51" t="s">
        <v>215</v>
      </c>
    </row>
  </sheetData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"/>
  <sheetViews>
    <sheetView workbookViewId="0">
      <selection activeCell="I20" sqref="I20"/>
    </sheetView>
  </sheetViews>
  <sheetFormatPr defaultRowHeight="15" x14ac:dyDescent="0.25"/>
  <cols>
    <col min="1" max="7" width="10.7109375" customWidth="1"/>
    <col min="8" max="8" width="10.7109375" style="4" customWidth="1"/>
    <col min="9" max="9" width="31" bestFit="1" customWidth="1"/>
    <col min="10" max="10" width="20.140625" customWidth="1"/>
  </cols>
  <sheetData>
    <row r="1" spans="1:12" s="2" customFormat="1" x14ac:dyDescent="0.25">
      <c r="A1" s="3"/>
      <c r="B1" s="3"/>
      <c r="C1" s="3"/>
      <c r="D1" s="3"/>
      <c r="E1" s="3"/>
      <c r="F1" s="3"/>
      <c r="G1" s="3"/>
      <c r="H1" s="3"/>
      <c r="I1" s="3"/>
      <c r="J1" s="3"/>
      <c r="K1" s="7"/>
      <c r="L1" s="7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4"/>
  <sheetViews>
    <sheetView topLeftCell="D1" workbookViewId="0">
      <selection activeCell="L28" sqref="L28"/>
    </sheetView>
  </sheetViews>
  <sheetFormatPr defaultRowHeight="15" x14ac:dyDescent="0.25"/>
  <cols>
    <col min="1" max="1" width="9" customWidth="1"/>
    <col min="2" max="2" width="13.85546875" bestFit="1" customWidth="1"/>
    <col min="3" max="3" width="13.85546875" customWidth="1"/>
    <col min="4" max="4" width="12.5703125" customWidth="1"/>
    <col min="5" max="5" width="12.140625" customWidth="1"/>
    <col min="6" max="10" width="13.28515625" style="4" customWidth="1"/>
    <col min="11" max="11" width="33.85546875" style="4" customWidth="1"/>
    <col min="12" max="12" width="32.140625" bestFit="1" customWidth="1"/>
    <col min="13" max="13" width="47.140625" bestFit="1" customWidth="1"/>
    <col min="16" max="16" width="21.7109375" bestFit="1" customWidth="1"/>
  </cols>
  <sheetData>
    <row r="1" spans="1:16" s="27" customFormat="1" ht="60" x14ac:dyDescent="0.25">
      <c r="A1" s="19" t="s">
        <v>5</v>
      </c>
      <c r="B1" s="19" t="s">
        <v>10</v>
      </c>
      <c r="C1" s="12" t="s">
        <v>155</v>
      </c>
      <c r="D1" s="12" t="s">
        <v>11</v>
      </c>
      <c r="E1" s="12" t="s">
        <v>12</v>
      </c>
      <c r="F1" s="19" t="s">
        <v>159</v>
      </c>
      <c r="G1" s="24" t="s">
        <v>207</v>
      </c>
      <c r="H1" s="24" t="s">
        <v>208</v>
      </c>
      <c r="I1" s="24" t="s">
        <v>209</v>
      </c>
      <c r="J1" s="24" t="s">
        <v>210</v>
      </c>
      <c r="K1" s="24" t="s">
        <v>211</v>
      </c>
      <c r="L1" s="19" t="s">
        <v>8</v>
      </c>
      <c r="M1" s="19" t="s">
        <v>256</v>
      </c>
      <c r="N1" s="56" t="s">
        <v>132</v>
      </c>
      <c r="O1" s="56" t="s">
        <v>133</v>
      </c>
      <c r="P1" s="19" t="s">
        <v>200</v>
      </c>
    </row>
    <row r="2" spans="1:16" x14ac:dyDescent="0.25">
      <c r="A2" t="s">
        <v>9</v>
      </c>
      <c r="B2" t="s">
        <v>142</v>
      </c>
      <c r="C2" s="11">
        <v>365</v>
      </c>
      <c r="D2" s="11">
        <v>62</v>
      </c>
      <c r="E2" s="11">
        <v>1.4999999999999999E-2</v>
      </c>
      <c r="F2" s="4" t="s">
        <v>114</v>
      </c>
      <c r="G2" s="18">
        <v>1</v>
      </c>
      <c r="H2" s="18">
        <v>0.1</v>
      </c>
      <c r="I2" s="18">
        <v>1</v>
      </c>
      <c r="J2" s="18">
        <v>20</v>
      </c>
      <c r="K2" s="18" t="s">
        <v>216</v>
      </c>
      <c r="L2" t="s">
        <v>126</v>
      </c>
      <c r="M2" t="s">
        <v>254</v>
      </c>
      <c r="N2">
        <v>1</v>
      </c>
      <c r="O2" t="s">
        <v>202</v>
      </c>
      <c r="P2" t="s">
        <v>259</v>
      </c>
    </row>
    <row r="3" spans="1:16" x14ac:dyDescent="0.25">
      <c r="A3" t="s">
        <v>9</v>
      </c>
      <c r="B3" t="s">
        <v>144</v>
      </c>
      <c r="C3" s="11">
        <v>365</v>
      </c>
      <c r="D3" s="11">
        <v>62</v>
      </c>
      <c r="E3" s="11">
        <v>1.4999999999999999E-2</v>
      </c>
      <c r="F3" s="4" t="s">
        <v>114</v>
      </c>
      <c r="G3" s="18">
        <v>1</v>
      </c>
      <c r="H3" s="18">
        <v>0.1</v>
      </c>
      <c r="I3" s="18">
        <v>1</v>
      </c>
      <c r="J3" s="18">
        <v>20</v>
      </c>
      <c r="K3" s="18" t="s">
        <v>216</v>
      </c>
      <c r="L3" t="s">
        <v>126</v>
      </c>
      <c r="M3" t="s">
        <v>255</v>
      </c>
      <c r="N3">
        <v>1</v>
      </c>
      <c r="O3" t="s">
        <v>201</v>
      </c>
      <c r="P3" s="38" t="s">
        <v>259</v>
      </c>
    </row>
    <row r="4" spans="1:16" x14ac:dyDescent="0.25">
      <c r="C4" s="11"/>
      <c r="D4" s="11"/>
      <c r="E4" s="11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4"/>
  <sheetViews>
    <sheetView workbookViewId="0">
      <selection activeCell="I14" sqref="I14"/>
    </sheetView>
  </sheetViews>
  <sheetFormatPr defaultRowHeight="15" x14ac:dyDescent="0.25"/>
  <cols>
    <col min="1" max="1" width="8.42578125" bestFit="1" customWidth="1"/>
    <col min="2" max="2" width="6.85546875" bestFit="1" customWidth="1"/>
    <col min="3" max="3" width="15" customWidth="1"/>
    <col min="4" max="4" width="11.7109375" customWidth="1"/>
    <col min="5" max="5" width="10" bestFit="1" customWidth="1"/>
    <col min="6" max="6" width="10.28515625" style="4" customWidth="1"/>
    <col min="7" max="7" width="23.7109375" bestFit="1" customWidth="1"/>
    <col min="8" max="8" width="14.5703125" bestFit="1" customWidth="1"/>
    <col min="9" max="9" width="9.85546875" bestFit="1" customWidth="1"/>
  </cols>
  <sheetData>
    <row r="1" spans="1:9" s="2" customFormat="1" ht="60" x14ac:dyDescent="0.25">
      <c r="A1" s="3" t="s">
        <v>5</v>
      </c>
      <c r="B1" s="3" t="s">
        <v>10</v>
      </c>
      <c r="C1" s="10" t="s">
        <v>155</v>
      </c>
      <c r="D1" s="10" t="s">
        <v>11</v>
      </c>
      <c r="E1" s="10" t="s">
        <v>12</v>
      </c>
      <c r="F1" s="3" t="s">
        <v>118</v>
      </c>
      <c r="G1" s="3" t="s">
        <v>8</v>
      </c>
      <c r="H1" s="3" t="s">
        <v>256</v>
      </c>
      <c r="I1" s="19" t="s">
        <v>200</v>
      </c>
    </row>
    <row r="2" spans="1:9" x14ac:dyDescent="0.25">
      <c r="A2" t="s">
        <v>9</v>
      </c>
      <c r="B2" t="s">
        <v>64</v>
      </c>
      <c r="C2" s="11">
        <v>365</v>
      </c>
      <c r="D2" s="11">
        <v>182</v>
      </c>
      <c r="E2" s="11">
        <v>1.4999999999999999E-2</v>
      </c>
      <c r="F2" s="4" t="s">
        <v>114</v>
      </c>
      <c r="G2" t="s">
        <v>127</v>
      </c>
      <c r="H2" t="s">
        <v>233</v>
      </c>
      <c r="I2" t="s">
        <v>260</v>
      </c>
    </row>
    <row r="3" spans="1:9" x14ac:dyDescent="0.25">
      <c r="A3" t="s">
        <v>9</v>
      </c>
      <c r="B3" t="s">
        <v>115</v>
      </c>
      <c r="C3" s="11">
        <v>365</v>
      </c>
      <c r="D3" s="11">
        <v>182</v>
      </c>
      <c r="E3" s="11">
        <v>1.4999999999999999E-2</v>
      </c>
      <c r="F3" s="4" t="s">
        <v>114</v>
      </c>
      <c r="G3" t="s">
        <v>127</v>
      </c>
      <c r="H3" t="s">
        <v>233</v>
      </c>
      <c r="I3" t="s">
        <v>260</v>
      </c>
    </row>
    <row r="4" spans="1:9" x14ac:dyDescent="0.25">
      <c r="A4" t="s">
        <v>9</v>
      </c>
      <c r="B4" t="s">
        <v>116</v>
      </c>
      <c r="C4" s="11">
        <v>365</v>
      </c>
      <c r="D4" s="11">
        <v>182</v>
      </c>
      <c r="E4" s="11">
        <v>1.4999999999999999E-2</v>
      </c>
      <c r="F4" s="4" t="s">
        <v>114</v>
      </c>
      <c r="G4" t="s">
        <v>127</v>
      </c>
      <c r="H4" t="s">
        <v>233</v>
      </c>
      <c r="I4" t="s">
        <v>260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2"/>
  <sheetViews>
    <sheetView topLeftCell="F1" workbookViewId="0">
      <selection activeCell="Q12" sqref="Q12"/>
    </sheetView>
  </sheetViews>
  <sheetFormatPr defaultRowHeight="15" x14ac:dyDescent="0.25"/>
  <cols>
    <col min="1" max="1" width="8.42578125" bestFit="1" customWidth="1"/>
    <col min="2" max="2" width="11.28515625" bestFit="1" customWidth="1"/>
    <col min="3" max="3" width="11.28515625" customWidth="1"/>
    <col min="4" max="5" width="11.85546875" customWidth="1"/>
    <col min="6" max="6" width="9.85546875" style="4" customWidth="1"/>
    <col min="7" max="7" width="22.85546875" bestFit="1" customWidth="1"/>
    <col min="8" max="8" width="35.42578125" customWidth="1"/>
    <col min="10" max="13" width="15.7109375" customWidth="1"/>
    <col min="15" max="15" width="14.7109375" customWidth="1"/>
    <col min="16" max="16" width="16.42578125" customWidth="1"/>
    <col min="17" max="17" width="17.140625" customWidth="1"/>
    <col min="18" max="20" width="14.140625" customWidth="1"/>
    <col min="21" max="21" width="9.85546875" bestFit="1" customWidth="1"/>
  </cols>
  <sheetData>
    <row r="1" spans="1:21" s="25" customFormat="1" ht="105" x14ac:dyDescent="0.25">
      <c r="A1" s="19" t="s">
        <v>5</v>
      </c>
      <c r="B1" s="19" t="s">
        <v>10</v>
      </c>
      <c r="C1" s="12" t="s">
        <v>155</v>
      </c>
      <c r="D1" s="12" t="s">
        <v>11</v>
      </c>
      <c r="E1" s="12" t="s">
        <v>12</v>
      </c>
      <c r="F1" s="19" t="s">
        <v>226</v>
      </c>
      <c r="G1" s="19" t="s">
        <v>8</v>
      </c>
      <c r="H1" s="19" t="s">
        <v>256</v>
      </c>
      <c r="I1" s="19" t="s">
        <v>234</v>
      </c>
      <c r="J1" s="59" t="s">
        <v>235</v>
      </c>
      <c r="K1" s="60" t="s">
        <v>236</v>
      </c>
      <c r="L1" s="60" t="s">
        <v>237</v>
      </c>
      <c r="M1" s="20" t="s">
        <v>238</v>
      </c>
      <c r="N1" s="19" t="s">
        <v>239</v>
      </c>
      <c r="O1" s="33" t="s">
        <v>240</v>
      </c>
      <c r="P1" s="33" t="s">
        <v>241</v>
      </c>
      <c r="Q1" s="21" t="s">
        <v>242</v>
      </c>
      <c r="R1" s="34" t="s">
        <v>243</v>
      </c>
      <c r="S1" s="34" t="s">
        <v>244</v>
      </c>
      <c r="T1" s="23" t="s">
        <v>245</v>
      </c>
      <c r="U1" s="19" t="s">
        <v>200</v>
      </c>
    </row>
    <row r="2" spans="1:21" x14ac:dyDescent="0.25">
      <c r="A2" t="s">
        <v>9</v>
      </c>
      <c r="B2" t="s">
        <v>81</v>
      </c>
      <c r="C2" s="11">
        <v>365</v>
      </c>
      <c r="D2" s="11">
        <v>1880</v>
      </c>
      <c r="E2" s="11">
        <v>1.4999999999999999E-2</v>
      </c>
      <c r="F2" s="4" t="s">
        <v>114</v>
      </c>
      <c r="G2" t="s">
        <v>247</v>
      </c>
      <c r="H2" t="s">
        <v>233</v>
      </c>
      <c r="I2" t="b">
        <v>1</v>
      </c>
      <c r="J2" s="17">
        <v>1</v>
      </c>
      <c r="K2" s="35">
        <v>0</v>
      </c>
      <c r="L2" s="35">
        <v>4380</v>
      </c>
      <c r="M2" s="17">
        <v>7.3332999999999995E-2</v>
      </c>
      <c r="N2" t="b">
        <v>1</v>
      </c>
      <c r="O2" s="14">
        <v>0</v>
      </c>
      <c r="P2" s="14">
        <v>4380</v>
      </c>
      <c r="Q2" s="15">
        <v>0.11364</v>
      </c>
      <c r="R2" s="16">
        <v>0</v>
      </c>
      <c r="S2" s="16">
        <v>2920</v>
      </c>
      <c r="T2" s="17">
        <v>0.11364</v>
      </c>
      <c r="U2" t="s">
        <v>261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Z8"/>
  <sheetViews>
    <sheetView topLeftCell="AJ1" workbookViewId="0">
      <selection activeCell="AW12" sqref="AW12"/>
    </sheetView>
  </sheetViews>
  <sheetFormatPr defaultColWidth="15.5703125" defaultRowHeight="15" x14ac:dyDescent="0.25"/>
  <cols>
    <col min="1" max="1" width="9.5703125" bestFit="1" customWidth="1"/>
    <col min="2" max="2" width="7.85546875" bestFit="1" customWidth="1"/>
    <col min="3" max="3" width="11.5703125" bestFit="1" customWidth="1"/>
    <col min="4" max="6" width="11.42578125" bestFit="1" customWidth="1"/>
    <col min="7" max="7" width="13.42578125" style="4" bestFit="1" customWidth="1"/>
    <col min="8" max="8" width="11.140625" bestFit="1" customWidth="1"/>
    <col min="9" max="9" width="21.5703125" customWidth="1"/>
    <col min="10" max="10" width="14.28515625" bestFit="1" customWidth="1"/>
    <col min="12" max="12" width="11.28515625" bestFit="1" customWidth="1"/>
    <col min="13" max="13" width="9.85546875" bestFit="1" customWidth="1"/>
    <col min="14" max="14" width="15" bestFit="1" customWidth="1"/>
    <col min="15" max="15" width="11.28515625" bestFit="1" customWidth="1"/>
    <col min="16" max="16" width="11.42578125" bestFit="1" customWidth="1"/>
    <col min="17" max="17" width="11.7109375" bestFit="1" customWidth="1"/>
    <col min="18" max="18" width="12.42578125" bestFit="1" customWidth="1"/>
    <col min="19" max="19" width="13.140625" bestFit="1" customWidth="1"/>
    <col min="20" max="20" width="14.28515625" bestFit="1" customWidth="1"/>
    <col min="21" max="21" width="14.42578125" bestFit="1" customWidth="1"/>
    <col min="22" max="22" width="15.28515625" bestFit="1" customWidth="1"/>
    <col min="24" max="25" width="15.28515625" bestFit="1" customWidth="1"/>
    <col min="26" max="26" width="10.7109375" bestFit="1" customWidth="1"/>
    <col min="27" max="30" width="15.42578125" bestFit="1" customWidth="1"/>
    <col min="31" max="31" width="11.42578125" bestFit="1" customWidth="1"/>
    <col min="32" max="33" width="15" bestFit="1" customWidth="1"/>
    <col min="34" max="34" width="15.140625" bestFit="1" customWidth="1"/>
    <col min="35" max="38" width="15" bestFit="1" customWidth="1"/>
    <col min="39" max="42" width="11.7109375" bestFit="1" customWidth="1"/>
    <col min="43" max="46" width="15.42578125" bestFit="1" customWidth="1"/>
    <col min="47" max="47" width="16" bestFit="1" customWidth="1"/>
    <col min="48" max="49" width="19.85546875" bestFit="1" customWidth="1"/>
    <col min="50" max="50" width="10" bestFit="1" customWidth="1"/>
  </cols>
  <sheetData>
    <row r="1" spans="1:52" s="25" customFormat="1" ht="76.900000000000006" customHeight="1" x14ac:dyDescent="0.25">
      <c r="A1" s="19" t="s">
        <v>5</v>
      </c>
      <c r="B1" s="19" t="s">
        <v>10</v>
      </c>
      <c r="C1" s="19" t="s">
        <v>250</v>
      </c>
      <c r="D1" s="12" t="s">
        <v>155</v>
      </c>
      <c r="E1" s="12" t="s">
        <v>11</v>
      </c>
      <c r="F1" s="12" t="s">
        <v>12</v>
      </c>
      <c r="G1" s="19" t="s">
        <v>159</v>
      </c>
      <c r="H1" s="19" t="s">
        <v>221</v>
      </c>
      <c r="I1" s="19" t="s">
        <v>205</v>
      </c>
      <c r="J1" s="19" t="s">
        <v>222</v>
      </c>
      <c r="K1" s="19" t="s">
        <v>65</v>
      </c>
      <c r="L1" s="19" t="s">
        <v>66</v>
      </c>
      <c r="M1" s="19" t="s">
        <v>67</v>
      </c>
      <c r="N1" s="19" t="s">
        <v>68</v>
      </c>
      <c r="O1" s="41" t="s">
        <v>248</v>
      </c>
      <c r="P1" s="41" t="s">
        <v>249</v>
      </c>
      <c r="Q1" s="19" t="s">
        <v>206</v>
      </c>
      <c r="R1" s="19" t="s">
        <v>185</v>
      </c>
      <c r="S1" s="19" t="s">
        <v>186</v>
      </c>
      <c r="T1" s="19" t="s">
        <v>187</v>
      </c>
      <c r="U1" s="19" t="s">
        <v>188</v>
      </c>
      <c r="V1" s="36" t="s">
        <v>189</v>
      </c>
      <c r="W1" s="36" t="s">
        <v>160</v>
      </c>
      <c r="X1" s="36" t="s">
        <v>161</v>
      </c>
      <c r="Y1" s="36" t="s">
        <v>69</v>
      </c>
      <c r="Z1" s="19" t="s">
        <v>223</v>
      </c>
      <c r="AA1" s="22" t="s">
        <v>190</v>
      </c>
      <c r="AB1" s="21" t="s">
        <v>162</v>
      </c>
      <c r="AC1" s="22" t="s">
        <v>163</v>
      </c>
      <c r="AD1" s="21" t="s">
        <v>70</v>
      </c>
      <c r="AE1" s="20" t="s">
        <v>191</v>
      </c>
      <c r="AF1" s="20" t="s">
        <v>164</v>
      </c>
      <c r="AG1" s="20" t="s">
        <v>165</v>
      </c>
      <c r="AH1" s="20" t="s">
        <v>119</v>
      </c>
      <c r="AI1" s="21" t="s">
        <v>192</v>
      </c>
      <c r="AJ1" s="21" t="s">
        <v>166</v>
      </c>
      <c r="AK1" s="21" t="s">
        <v>167</v>
      </c>
      <c r="AL1" s="21" t="s">
        <v>120</v>
      </c>
      <c r="AM1" s="23" t="s">
        <v>193</v>
      </c>
      <c r="AN1" s="23" t="s">
        <v>168</v>
      </c>
      <c r="AO1" s="23" t="s">
        <v>169</v>
      </c>
      <c r="AP1" s="23" t="s">
        <v>71</v>
      </c>
      <c r="AQ1" s="24" t="s">
        <v>194</v>
      </c>
      <c r="AR1" s="24" t="s">
        <v>170</v>
      </c>
      <c r="AS1" s="24" t="s">
        <v>171</v>
      </c>
      <c r="AT1" s="24" t="s">
        <v>121</v>
      </c>
      <c r="AU1" s="19" t="s">
        <v>8</v>
      </c>
      <c r="AV1" s="19" t="s">
        <v>256</v>
      </c>
      <c r="AW1" s="19" t="s">
        <v>183</v>
      </c>
      <c r="AX1" s="19" t="s">
        <v>200</v>
      </c>
      <c r="AY1" s="19" t="s">
        <v>251</v>
      </c>
      <c r="AZ1" s="19" t="s">
        <v>252</v>
      </c>
    </row>
    <row r="2" spans="1:52" x14ac:dyDescent="0.25">
      <c r="A2" t="s">
        <v>9</v>
      </c>
      <c r="B2" t="s">
        <v>72</v>
      </c>
      <c r="C2">
        <v>7000</v>
      </c>
      <c r="D2" s="11">
        <v>365</v>
      </c>
      <c r="E2" s="11">
        <v>750</v>
      </c>
      <c r="F2" s="11">
        <v>1.4999999999999999E-2</v>
      </c>
      <c r="G2" s="4" t="s">
        <v>114</v>
      </c>
      <c r="H2" t="s">
        <v>73</v>
      </c>
      <c r="I2" t="s">
        <v>74</v>
      </c>
      <c r="J2" s="4" t="s">
        <v>124</v>
      </c>
      <c r="K2">
        <v>0.9</v>
      </c>
      <c r="L2">
        <v>0.05</v>
      </c>
      <c r="M2">
        <v>0.95</v>
      </c>
      <c r="N2">
        <v>0</v>
      </c>
      <c r="O2">
        <f>24*21</f>
        <v>504</v>
      </c>
      <c r="P2">
        <f>24*7*6</f>
        <v>1008</v>
      </c>
      <c r="Q2" s="4" t="s">
        <v>114</v>
      </c>
      <c r="R2">
        <v>10</v>
      </c>
      <c r="S2">
        <v>0</v>
      </c>
      <c r="T2">
        <f>600</f>
        <v>600</v>
      </c>
      <c r="U2">
        <f>ROUND(20/3000*C2*900/14.7,0)</f>
        <v>2857</v>
      </c>
      <c r="V2" s="37">
        <v>1</v>
      </c>
      <c r="W2" s="37">
        <v>0</v>
      </c>
      <c r="X2" s="37">
        <v>182.5</v>
      </c>
      <c r="Y2" s="37">
        <v>0.21634999999999999</v>
      </c>
      <c r="Z2" t="b">
        <v>1</v>
      </c>
      <c r="AA2" s="15">
        <v>1</v>
      </c>
      <c r="AB2" s="15">
        <v>0</v>
      </c>
      <c r="AC2" s="15">
        <v>182.5</v>
      </c>
      <c r="AD2" s="15">
        <v>8.3141000000000007E-2</v>
      </c>
      <c r="AE2" s="13">
        <v>1</v>
      </c>
      <c r="AF2" s="13">
        <v>0</v>
      </c>
      <c r="AG2" s="13">
        <v>182.5</v>
      </c>
      <c r="AH2" s="13">
        <v>0.47815999999999997</v>
      </c>
      <c r="AI2" s="15">
        <v>1</v>
      </c>
      <c r="AJ2" s="15">
        <v>0</v>
      </c>
      <c r="AK2" s="15">
        <v>121.66670000000001</v>
      </c>
      <c r="AL2" s="15">
        <v>2.6738E-3</v>
      </c>
      <c r="AM2" s="17">
        <v>1</v>
      </c>
      <c r="AN2" s="17">
        <v>0</v>
      </c>
      <c r="AO2" s="17">
        <v>182.5</v>
      </c>
      <c r="AP2" s="17">
        <v>0.11268</v>
      </c>
      <c r="AQ2" s="18">
        <v>1</v>
      </c>
      <c r="AR2" s="18">
        <v>0</v>
      </c>
      <c r="AS2" s="18">
        <v>121.66670000000001</v>
      </c>
      <c r="AT2" s="18">
        <v>2.7855000000000002E-3</v>
      </c>
      <c r="AU2" t="s">
        <v>128</v>
      </c>
      <c r="AV2" t="s">
        <v>233</v>
      </c>
      <c r="AW2" t="s">
        <v>233</v>
      </c>
      <c r="AX2" t="s">
        <v>262</v>
      </c>
      <c r="AY2">
        <v>0.35</v>
      </c>
      <c r="AZ2" t="s">
        <v>253</v>
      </c>
    </row>
    <row r="3" spans="1:52" x14ac:dyDescent="0.25">
      <c r="A3" t="s">
        <v>9</v>
      </c>
      <c r="B3" t="s">
        <v>75</v>
      </c>
      <c r="C3">
        <v>7000</v>
      </c>
      <c r="D3" s="11">
        <v>365</v>
      </c>
      <c r="E3" s="11">
        <v>750</v>
      </c>
      <c r="F3" s="11">
        <v>1.4999999999999999E-2</v>
      </c>
      <c r="G3" s="4" t="s">
        <v>114</v>
      </c>
      <c r="H3" t="s">
        <v>73</v>
      </c>
      <c r="I3" t="s">
        <v>74</v>
      </c>
      <c r="J3" s="4" t="s">
        <v>124</v>
      </c>
      <c r="K3">
        <v>0.9</v>
      </c>
      <c r="L3">
        <v>0.05</v>
      </c>
      <c r="M3">
        <v>0.95</v>
      </c>
      <c r="N3">
        <v>0</v>
      </c>
      <c r="O3">
        <f t="shared" ref="O3:O8" si="0">24*21</f>
        <v>504</v>
      </c>
      <c r="P3">
        <f t="shared" ref="P3:P8" si="1">24*7*6</f>
        <v>1008</v>
      </c>
      <c r="Q3" s="4" t="s">
        <v>114</v>
      </c>
      <c r="R3">
        <v>10</v>
      </c>
      <c r="S3">
        <v>0</v>
      </c>
      <c r="T3">
        <f>600</f>
        <v>600</v>
      </c>
      <c r="U3">
        <f>ROUND(20/3000*C3*900/14.7,0)</f>
        <v>2857</v>
      </c>
      <c r="V3" s="37">
        <v>1</v>
      </c>
      <c r="W3" s="37">
        <v>0</v>
      </c>
      <c r="X3" s="37">
        <v>182.5</v>
      </c>
      <c r="Y3" s="37">
        <v>0.21634999999999999</v>
      </c>
      <c r="Z3" t="b">
        <v>1</v>
      </c>
      <c r="AA3" s="15">
        <v>1</v>
      </c>
      <c r="AB3" s="15">
        <v>0</v>
      </c>
      <c r="AC3" s="15">
        <v>182.5</v>
      </c>
      <c r="AD3" s="15">
        <v>8.3141000000000007E-2</v>
      </c>
      <c r="AE3" s="13">
        <v>1</v>
      </c>
      <c r="AF3" s="13">
        <v>0</v>
      </c>
      <c r="AG3" s="13">
        <v>182.5</v>
      </c>
      <c r="AH3" s="13">
        <v>0.47815999999999997</v>
      </c>
      <c r="AI3" s="15">
        <v>1</v>
      </c>
      <c r="AJ3" s="15">
        <v>0</v>
      </c>
      <c r="AK3" s="15">
        <v>121.66670000000001</v>
      </c>
      <c r="AL3" s="15">
        <v>2.6738E-3</v>
      </c>
      <c r="AM3" s="17">
        <v>1</v>
      </c>
      <c r="AN3" s="17">
        <v>0</v>
      </c>
      <c r="AO3" s="17">
        <v>182.5</v>
      </c>
      <c r="AP3" s="17">
        <v>0.11268</v>
      </c>
      <c r="AQ3" s="18">
        <v>1</v>
      </c>
      <c r="AR3" s="18">
        <v>0</v>
      </c>
      <c r="AS3" s="18">
        <v>121.66670000000001</v>
      </c>
      <c r="AT3" s="18">
        <v>2.7855000000000002E-3</v>
      </c>
      <c r="AU3" t="s">
        <v>128</v>
      </c>
      <c r="AV3" t="s">
        <v>233</v>
      </c>
      <c r="AW3" t="s">
        <v>233</v>
      </c>
      <c r="AX3" t="s">
        <v>262</v>
      </c>
      <c r="AY3">
        <v>0.35</v>
      </c>
      <c r="AZ3" t="s">
        <v>253</v>
      </c>
    </row>
    <row r="4" spans="1:52" x14ac:dyDescent="0.25">
      <c r="A4" t="s">
        <v>9</v>
      </c>
      <c r="B4" t="s">
        <v>76</v>
      </c>
      <c r="C4">
        <v>3000</v>
      </c>
      <c r="D4" s="11">
        <v>365</v>
      </c>
      <c r="E4" s="11">
        <v>750</v>
      </c>
      <c r="F4" s="11">
        <v>1.4999999999999999E-2</v>
      </c>
      <c r="G4" s="4" t="s">
        <v>114</v>
      </c>
      <c r="H4" t="s">
        <v>73</v>
      </c>
      <c r="I4" t="s">
        <v>74</v>
      </c>
      <c r="J4" s="4" t="s">
        <v>124</v>
      </c>
      <c r="K4">
        <v>0.9</v>
      </c>
      <c r="L4">
        <v>0.05</v>
      </c>
      <c r="M4">
        <v>0.95</v>
      </c>
      <c r="N4">
        <v>0</v>
      </c>
      <c r="O4">
        <f t="shared" si="0"/>
        <v>504</v>
      </c>
      <c r="P4">
        <f t="shared" si="1"/>
        <v>1008</v>
      </c>
      <c r="Q4" s="4" t="s">
        <v>114</v>
      </c>
      <c r="R4">
        <v>10</v>
      </c>
      <c r="S4">
        <v>0</v>
      </c>
      <c r="T4">
        <f>600</f>
        <v>600</v>
      </c>
      <c r="U4">
        <f>ROUND(20/3000*C4*600/14.7,0)</f>
        <v>816</v>
      </c>
      <c r="V4" s="37">
        <v>1</v>
      </c>
      <c r="W4" s="37">
        <v>0</v>
      </c>
      <c r="X4" s="37">
        <v>182.5</v>
      </c>
      <c r="Y4" s="37">
        <v>0.21634999999999999</v>
      </c>
      <c r="Z4" t="b">
        <v>1</v>
      </c>
      <c r="AA4" s="15">
        <v>1</v>
      </c>
      <c r="AB4" s="15">
        <v>0</v>
      </c>
      <c r="AC4" s="15">
        <v>182.5</v>
      </c>
      <c r="AD4" s="15">
        <v>8.3141000000000007E-2</v>
      </c>
      <c r="AE4" s="13">
        <v>1</v>
      </c>
      <c r="AF4" s="13">
        <v>0</v>
      </c>
      <c r="AG4" s="13">
        <v>182.5</v>
      </c>
      <c r="AH4" s="13">
        <v>0.47815999999999997</v>
      </c>
      <c r="AI4" s="15">
        <v>1</v>
      </c>
      <c r="AJ4" s="15">
        <v>0</v>
      </c>
      <c r="AK4" s="15">
        <v>121.66670000000001</v>
      </c>
      <c r="AL4" s="15">
        <v>2.6738E-3</v>
      </c>
      <c r="AM4" s="17">
        <v>1</v>
      </c>
      <c r="AN4" s="17">
        <v>0</v>
      </c>
      <c r="AO4" s="17">
        <v>182.5</v>
      </c>
      <c r="AP4" s="17">
        <v>0.11268</v>
      </c>
      <c r="AQ4" s="18">
        <v>1</v>
      </c>
      <c r="AR4" s="18">
        <v>0</v>
      </c>
      <c r="AS4" s="18">
        <v>121.66670000000001</v>
      </c>
      <c r="AT4" s="18">
        <v>2.7855000000000002E-3</v>
      </c>
      <c r="AU4" t="s">
        <v>128</v>
      </c>
      <c r="AV4" t="s">
        <v>233</v>
      </c>
      <c r="AW4" t="s">
        <v>233</v>
      </c>
      <c r="AX4" t="s">
        <v>262</v>
      </c>
      <c r="AY4">
        <v>0.35</v>
      </c>
      <c r="AZ4" t="s">
        <v>253</v>
      </c>
    </row>
    <row r="5" spans="1:52" x14ac:dyDescent="0.25">
      <c r="A5" t="s">
        <v>9</v>
      </c>
      <c r="B5" t="s">
        <v>77</v>
      </c>
      <c r="C5">
        <v>1000</v>
      </c>
      <c r="D5" s="11">
        <v>365</v>
      </c>
      <c r="E5" s="11">
        <v>400</v>
      </c>
      <c r="F5" s="11">
        <v>1.4999999999999999E-2</v>
      </c>
      <c r="G5" s="4" t="s">
        <v>114</v>
      </c>
      <c r="H5" t="s">
        <v>73</v>
      </c>
      <c r="I5" t="s">
        <v>74</v>
      </c>
      <c r="J5" s="4" t="s">
        <v>124</v>
      </c>
      <c r="K5">
        <v>0.9</v>
      </c>
      <c r="L5">
        <v>0.05</v>
      </c>
      <c r="M5">
        <v>0.95</v>
      </c>
      <c r="N5">
        <v>0</v>
      </c>
      <c r="O5">
        <f t="shared" si="0"/>
        <v>504</v>
      </c>
      <c r="P5">
        <f t="shared" si="1"/>
        <v>1008</v>
      </c>
      <c r="Q5" s="4" t="s">
        <v>114</v>
      </c>
      <c r="R5">
        <v>10</v>
      </c>
      <c r="S5">
        <v>0</v>
      </c>
      <c r="T5">
        <f>600</f>
        <v>600</v>
      </c>
      <c r="U5">
        <f>ROUND(20/3000*C5*300/14.7,0)</f>
        <v>136</v>
      </c>
      <c r="V5" s="37">
        <v>1</v>
      </c>
      <c r="W5" s="37">
        <v>0</v>
      </c>
      <c r="X5" s="37">
        <v>182.5</v>
      </c>
      <c r="Y5" s="37">
        <v>0.21634999999999999</v>
      </c>
      <c r="Z5" t="b">
        <v>1</v>
      </c>
      <c r="AA5" s="15">
        <v>1</v>
      </c>
      <c r="AB5" s="15">
        <v>0</v>
      </c>
      <c r="AC5" s="15">
        <v>182.5</v>
      </c>
      <c r="AD5" s="15">
        <v>8.3141000000000007E-2</v>
      </c>
      <c r="AE5" s="13">
        <v>1</v>
      </c>
      <c r="AF5" s="13">
        <v>0</v>
      </c>
      <c r="AG5" s="13">
        <v>182.5</v>
      </c>
      <c r="AH5" s="13">
        <v>0.47815999999999997</v>
      </c>
      <c r="AI5" s="15">
        <v>1</v>
      </c>
      <c r="AJ5" s="15">
        <v>0</v>
      </c>
      <c r="AK5" s="15">
        <v>121.66670000000001</v>
      </c>
      <c r="AL5" s="15">
        <v>2.6738E-3</v>
      </c>
      <c r="AM5" s="17">
        <v>1</v>
      </c>
      <c r="AN5" s="17">
        <v>0</v>
      </c>
      <c r="AO5" s="17">
        <v>182.5</v>
      </c>
      <c r="AP5" s="17">
        <v>0.11268</v>
      </c>
      <c r="AQ5" s="18">
        <v>1</v>
      </c>
      <c r="AR5" s="18">
        <v>0</v>
      </c>
      <c r="AS5" s="18">
        <v>121.66670000000001</v>
      </c>
      <c r="AT5" s="18">
        <v>2.7855000000000002E-3</v>
      </c>
      <c r="AU5" t="s">
        <v>128</v>
      </c>
      <c r="AV5" t="s">
        <v>233</v>
      </c>
      <c r="AW5" t="s">
        <v>233</v>
      </c>
      <c r="AX5" t="s">
        <v>262</v>
      </c>
      <c r="AY5">
        <v>0.35</v>
      </c>
      <c r="AZ5" t="s">
        <v>253</v>
      </c>
    </row>
    <row r="6" spans="1:52" x14ac:dyDescent="0.25">
      <c r="A6" t="s">
        <v>9</v>
      </c>
      <c r="B6" t="s">
        <v>78</v>
      </c>
      <c r="C6">
        <v>1000</v>
      </c>
      <c r="D6" s="11">
        <v>365</v>
      </c>
      <c r="E6" s="11">
        <v>400</v>
      </c>
      <c r="F6" s="11">
        <v>1.4999999999999999E-2</v>
      </c>
      <c r="G6" s="4" t="s">
        <v>114</v>
      </c>
      <c r="H6" t="s">
        <v>111</v>
      </c>
      <c r="I6" t="s">
        <v>74</v>
      </c>
      <c r="J6" s="4" t="s">
        <v>124</v>
      </c>
      <c r="K6">
        <v>0.9</v>
      </c>
      <c r="L6">
        <v>0.05</v>
      </c>
      <c r="M6">
        <v>0.95</v>
      </c>
      <c r="N6">
        <v>0</v>
      </c>
      <c r="O6">
        <f t="shared" si="0"/>
        <v>504</v>
      </c>
      <c r="P6">
        <f t="shared" si="1"/>
        <v>1008</v>
      </c>
      <c r="Q6" s="4" t="s">
        <v>114</v>
      </c>
      <c r="R6">
        <v>10</v>
      </c>
      <c r="S6">
        <v>0</v>
      </c>
      <c r="T6">
        <f>600</f>
        <v>600</v>
      </c>
      <c r="U6">
        <f>ROUND(20/3000*C6*300/14.7,0)</f>
        <v>136</v>
      </c>
      <c r="V6" s="37">
        <v>1</v>
      </c>
      <c r="W6" s="37">
        <v>0</v>
      </c>
      <c r="X6" s="37">
        <v>182.5</v>
      </c>
      <c r="Y6" s="37">
        <v>0.21634999999999999</v>
      </c>
      <c r="Z6" t="b">
        <v>1</v>
      </c>
      <c r="AA6" s="15">
        <v>1</v>
      </c>
      <c r="AB6" s="15">
        <v>0</v>
      </c>
      <c r="AC6" s="15">
        <v>182.5</v>
      </c>
      <c r="AD6" s="15">
        <v>8.3141000000000007E-2</v>
      </c>
      <c r="AE6" s="13">
        <v>1</v>
      </c>
      <c r="AF6" s="13">
        <v>0</v>
      </c>
      <c r="AG6" s="13">
        <v>182.5</v>
      </c>
      <c r="AH6" s="13">
        <v>0.47815999999999997</v>
      </c>
      <c r="AI6" s="15">
        <v>1</v>
      </c>
      <c r="AJ6" s="15">
        <v>0</v>
      </c>
      <c r="AK6" s="15">
        <v>121.66670000000001</v>
      </c>
      <c r="AL6" s="15">
        <v>2.6738E-3</v>
      </c>
      <c r="AM6" s="17">
        <v>1</v>
      </c>
      <c r="AN6" s="17">
        <v>0</v>
      </c>
      <c r="AO6" s="17">
        <v>182.5</v>
      </c>
      <c r="AP6" s="17">
        <v>0.11268</v>
      </c>
      <c r="AQ6" s="18">
        <v>1</v>
      </c>
      <c r="AR6" s="18">
        <v>0</v>
      </c>
      <c r="AS6" s="18">
        <v>121.66670000000001</v>
      </c>
      <c r="AT6" s="18">
        <v>2.7855000000000002E-3</v>
      </c>
      <c r="AU6" t="s">
        <v>128</v>
      </c>
      <c r="AV6" t="s">
        <v>233</v>
      </c>
      <c r="AW6" t="s">
        <v>233</v>
      </c>
      <c r="AX6" t="s">
        <v>262</v>
      </c>
      <c r="AY6">
        <v>0.35</v>
      </c>
      <c r="AZ6" t="s">
        <v>253</v>
      </c>
    </row>
    <row r="7" spans="1:52" x14ac:dyDescent="0.25">
      <c r="A7" t="s">
        <v>9</v>
      </c>
      <c r="B7" t="s">
        <v>79</v>
      </c>
      <c r="C7">
        <v>1000</v>
      </c>
      <c r="D7" s="11">
        <v>365</v>
      </c>
      <c r="E7" s="11">
        <v>400</v>
      </c>
      <c r="F7" s="11">
        <v>1.4999999999999999E-2</v>
      </c>
      <c r="G7" s="4" t="s">
        <v>114</v>
      </c>
      <c r="H7" t="s">
        <v>111</v>
      </c>
      <c r="I7" t="s">
        <v>74</v>
      </c>
      <c r="J7" s="4" t="s">
        <v>124</v>
      </c>
      <c r="K7">
        <v>0.9</v>
      </c>
      <c r="L7">
        <v>0.05</v>
      </c>
      <c r="M7">
        <v>0.95</v>
      </c>
      <c r="N7">
        <v>0</v>
      </c>
      <c r="O7">
        <f t="shared" si="0"/>
        <v>504</v>
      </c>
      <c r="P7">
        <f t="shared" si="1"/>
        <v>1008</v>
      </c>
      <c r="Q7" s="4" t="s">
        <v>114</v>
      </c>
      <c r="R7">
        <v>10</v>
      </c>
      <c r="S7">
        <v>0</v>
      </c>
      <c r="T7">
        <f>600</f>
        <v>600</v>
      </c>
      <c r="U7">
        <f>ROUND(20/3000*C7*300/14.7,0)</f>
        <v>136</v>
      </c>
      <c r="V7" s="37">
        <v>1</v>
      </c>
      <c r="W7" s="37">
        <v>0</v>
      </c>
      <c r="X7" s="37">
        <v>182.5</v>
      </c>
      <c r="Y7" s="37">
        <v>0.21634999999999999</v>
      </c>
      <c r="Z7" t="b">
        <v>1</v>
      </c>
      <c r="AA7" s="15">
        <v>1</v>
      </c>
      <c r="AB7" s="15">
        <v>0</v>
      </c>
      <c r="AC7" s="15">
        <v>182.5</v>
      </c>
      <c r="AD7" s="15">
        <v>8.3141000000000007E-2</v>
      </c>
      <c r="AE7" s="13">
        <v>1</v>
      </c>
      <c r="AF7" s="13">
        <v>0</v>
      </c>
      <c r="AG7" s="13">
        <v>182.5</v>
      </c>
      <c r="AH7" s="13">
        <v>0.47815999999999997</v>
      </c>
      <c r="AI7" s="15">
        <v>1</v>
      </c>
      <c r="AJ7" s="15">
        <v>0</v>
      </c>
      <c r="AK7" s="15">
        <v>121.66670000000001</v>
      </c>
      <c r="AL7" s="15">
        <v>2.6738E-3</v>
      </c>
      <c r="AM7" s="17">
        <v>1</v>
      </c>
      <c r="AN7" s="17">
        <v>0</v>
      </c>
      <c r="AO7" s="17">
        <v>182.5</v>
      </c>
      <c r="AP7" s="17">
        <v>0.11268</v>
      </c>
      <c r="AQ7" s="18">
        <v>1</v>
      </c>
      <c r="AR7" s="18">
        <v>0</v>
      </c>
      <c r="AS7" s="18">
        <v>121.66670000000001</v>
      </c>
      <c r="AT7" s="18">
        <v>2.7855000000000002E-3</v>
      </c>
      <c r="AU7" t="s">
        <v>128</v>
      </c>
      <c r="AV7" t="s">
        <v>233</v>
      </c>
      <c r="AW7" t="s">
        <v>233</v>
      </c>
      <c r="AX7" t="s">
        <v>262</v>
      </c>
      <c r="AY7">
        <v>0.35</v>
      </c>
      <c r="AZ7" t="s">
        <v>253</v>
      </c>
    </row>
    <row r="8" spans="1:52" x14ac:dyDescent="0.25">
      <c r="A8" t="s">
        <v>9</v>
      </c>
      <c r="B8" t="s">
        <v>80</v>
      </c>
      <c r="C8">
        <v>1000</v>
      </c>
      <c r="D8" s="11">
        <v>365</v>
      </c>
      <c r="E8" s="11">
        <v>400</v>
      </c>
      <c r="F8" s="11">
        <v>1.4999999999999999E-2</v>
      </c>
      <c r="G8" s="4" t="s">
        <v>114</v>
      </c>
      <c r="H8" t="s">
        <v>111</v>
      </c>
      <c r="I8" t="s">
        <v>74</v>
      </c>
      <c r="J8" s="4" t="s">
        <v>124</v>
      </c>
      <c r="K8">
        <v>0.9</v>
      </c>
      <c r="L8">
        <v>0.05</v>
      </c>
      <c r="M8">
        <v>0.95</v>
      </c>
      <c r="N8">
        <v>0</v>
      </c>
      <c r="O8">
        <f t="shared" si="0"/>
        <v>504</v>
      </c>
      <c r="P8">
        <f t="shared" si="1"/>
        <v>1008</v>
      </c>
      <c r="Q8" s="4" t="s">
        <v>114</v>
      </c>
      <c r="R8">
        <v>10</v>
      </c>
      <c r="S8">
        <v>0</v>
      </c>
      <c r="T8">
        <f>600</f>
        <v>600</v>
      </c>
      <c r="U8">
        <f>ROUND(20/3000*C8*300/14.7,0)</f>
        <v>136</v>
      </c>
      <c r="V8" s="37">
        <v>1</v>
      </c>
      <c r="W8" s="37">
        <v>0</v>
      </c>
      <c r="X8" s="37">
        <v>182.5</v>
      </c>
      <c r="Y8" s="37">
        <v>0.21634999999999999</v>
      </c>
      <c r="Z8" t="b">
        <v>1</v>
      </c>
      <c r="AA8" s="15">
        <v>1</v>
      </c>
      <c r="AB8" s="15">
        <v>0</v>
      </c>
      <c r="AC8" s="15">
        <v>182.5</v>
      </c>
      <c r="AD8" s="15">
        <v>8.3141000000000007E-2</v>
      </c>
      <c r="AE8" s="13">
        <v>1</v>
      </c>
      <c r="AF8" s="13">
        <v>0</v>
      </c>
      <c r="AG8" s="13">
        <v>182.5</v>
      </c>
      <c r="AH8" s="13">
        <v>0.47815999999999997</v>
      </c>
      <c r="AI8" s="15">
        <v>1</v>
      </c>
      <c r="AJ8" s="15">
        <v>0</v>
      </c>
      <c r="AK8" s="15">
        <v>121.66670000000001</v>
      </c>
      <c r="AL8" s="15">
        <v>2.6738E-3</v>
      </c>
      <c r="AM8" s="17">
        <v>1</v>
      </c>
      <c r="AN8" s="17">
        <v>0</v>
      </c>
      <c r="AO8" s="17">
        <v>182.5</v>
      </c>
      <c r="AP8" s="17">
        <v>0.11268</v>
      </c>
      <c r="AQ8" s="18">
        <v>1</v>
      </c>
      <c r="AR8" s="18">
        <v>0</v>
      </c>
      <c r="AS8" s="18">
        <v>121.66670000000001</v>
      </c>
      <c r="AT8" s="18">
        <v>2.7855000000000002E-3</v>
      </c>
      <c r="AU8" t="s">
        <v>128</v>
      </c>
      <c r="AV8" t="s">
        <v>233</v>
      </c>
      <c r="AW8" t="s">
        <v>233</v>
      </c>
      <c r="AX8" t="s">
        <v>262</v>
      </c>
      <c r="AY8">
        <v>0.35</v>
      </c>
      <c r="AZ8" t="s">
        <v>253</v>
      </c>
    </row>
  </sheetData>
  <phoneticPr fontId="3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3"/>
  <sheetViews>
    <sheetView topLeftCell="I1" workbookViewId="0">
      <selection activeCell="R12" sqref="R12"/>
    </sheetView>
  </sheetViews>
  <sheetFormatPr defaultRowHeight="15" x14ac:dyDescent="0.25"/>
  <cols>
    <col min="1" max="1" width="8.42578125" bestFit="1" customWidth="1"/>
    <col min="2" max="2" width="6.7109375" bestFit="1" customWidth="1"/>
    <col min="3" max="3" width="17.5703125" customWidth="1"/>
    <col min="4" max="4" width="13.42578125" customWidth="1"/>
    <col min="5" max="5" width="12.7109375" customWidth="1"/>
    <col min="6" max="16" width="20.28515625" customWidth="1"/>
    <col min="17" max="17" width="22" bestFit="1" customWidth="1"/>
    <col min="18" max="18" width="48" bestFit="1" customWidth="1"/>
    <col min="19" max="19" width="9.85546875" bestFit="1" customWidth="1"/>
  </cols>
  <sheetData>
    <row r="1" spans="1:19" s="25" customFormat="1" ht="45" x14ac:dyDescent="0.25">
      <c r="A1" s="19" t="s">
        <v>5</v>
      </c>
      <c r="B1" s="19" t="s">
        <v>10</v>
      </c>
      <c r="C1" s="12" t="s">
        <v>155</v>
      </c>
      <c r="D1" s="12" t="s">
        <v>11</v>
      </c>
      <c r="E1" s="12" t="s">
        <v>12</v>
      </c>
      <c r="F1" s="19" t="s">
        <v>82</v>
      </c>
      <c r="G1" s="19" t="s">
        <v>172</v>
      </c>
      <c r="H1" s="19" t="s">
        <v>173</v>
      </c>
      <c r="I1" s="19" t="s">
        <v>196</v>
      </c>
      <c r="J1" s="19" t="s">
        <v>83</v>
      </c>
      <c r="K1" s="19" t="s">
        <v>174</v>
      </c>
      <c r="L1" s="19" t="s">
        <v>175</v>
      </c>
      <c r="M1" s="19" t="s">
        <v>197</v>
      </c>
      <c r="N1" s="19" t="s">
        <v>176</v>
      </c>
      <c r="O1" s="19" t="s">
        <v>177</v>
      </c>
      <c r="P1" s="19" t="s">
        <v>198</v>
      </c>
      <c r="Q1" s="19" t="s">
        <v>8</v>
      </c>
      <c r="R1" s="19" t="s">
        <v>256</v>
      </c>
      <c r="S1" s="19" t="s">
        <v>200</v>
      </c>
    </row>
    <row r="2" spans="1:19" x14ac:dyDescent="0.25">
      <c r="A2" t="s">
        <v>9</v>
      </c>
      <c r="B2" t="s">
        <v>84</v>
      </c>
      <c r="C2" s="11">
        <v>365</v>
      </c>
      <c r="D2" s="11">
        <v>200</v>
      </c>
      <c r="E2" s="11">
        <v>1.4999999999999999E-2</v>
      </c>
      <c r="F2">
        <v>0.75</v>
      </c>
      <c r="G2">
        <v>1</v>
      </c>
      <c r="H2">
        <v>7</v>
      </c>
      <c r="I2">
        <v>0.9</v>
      </c>
      <c r="J2">
        <v>0.25</v>
      </c>
      <c r="K2">
        <v>8.3333329999999997E-2</v>
      </c>
      <c r="L2">
        <v>2</v>
      </c>
      <c r="M2">
        <v>0</v>
      </c>
      <c r="N2">
        <v>90</v>
      </c>
      <c r="O2">
        <v>360</v>
      </c>
      <c r="P2">
        <v>0.98</v>
      </c>
      <c r="Q2" t="s">
        <v>129</v>
      </c>
      <c r="R2" t="s">
        <v>257</v>
      </c>
      <c r="S2" t="s">
        <v>263</v>
      </c>
    </row>
    <row r="3" spans="1:19" x14ac:dyDescent="0.25">
      <c r="A3" t="s">
        <v>9</v>
      </c>
      <c r="B3" t="s">
        <v>117</v>
      </c>
      <c r="C3" s="11">
        <v>365</v>
      </c>
      <c r="D3" s="11">
        <v>200</v>
      </c>
      <c r="E3" s="11">
        <v>1.4999999999999999E-2</v>
      </c>
      <c r="F3">
        <v>0.75</v>
      </c>
      <c r="G3">
        <v>1</v>
      </c>
      <c r="H3">
        <v>7</v>
      </c>
      <c r="I3">
        <v>0.9</v>
      </c>
      <c r="J3">
        <v>0.25</v>
      </c>
      <c r="K3">
        <v>8.3333329999999997E-2</v>
      </c>
      <c r="L3">
        <v>2</v>
      </c>
      <c r="M3">
        <v>0</v>
      </c>
      <c r="N3">
        <v>90</v>
      </c>
      <c r="O3">
        <v>360</v>
      </c>
      <c r="P3">
        <v>0.98</v>
      </c>
      <c r="Q3" t="s">
        <v>129</v>
      </c>
      <c r="R3" t="s">
        <v>257</v>
      </c>
      <c r="S3" t="s">
        <v>263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Y3"/>
  <sheetViews>
    <sheetView topLeftCell="J1" workbookViewId="0">
      <selection activeCell="X19" sqref="X19"/>
    </sheetView>
  </sheetViews>
  <sheetFormatPr defaultRowHeight="15" x14ac:dyDescent="0.25"/>
  <cols>
    <col min="1" max="1" width="9" bestFit="1" customWidth="1"/>
    <col min="2" max="2" width="19.85546875" bestFit="1" customWidth="1"/>
    <col min="3" max="5" width="11.42578125" bestFit="1" customWidth="1"/>
    <col min="6" max="6" width="13.42578125" style="4" bestFit="1" customWidth="1"/>
    <col min="7" max="7" width="17.7109375" bestFit="1" customWidth="1"/>
    <col min="8" max="8" width="12.7109375" bestFit="1" customWidth="1"/>
    <col min="9" max="9" width="13.140625" bestFit="1" customWidth="1"/>
    <col min="10" max="10" width="10.5703125" bestFit="1" customWidth="1"/>
    <col min="11" max="12" width="11.42578125" bestFit="1" customWidth="1"/>
    <col min="13" max="13" width="11.5703125" bestFit="1" customWidth="1"/>
    <col min="14" max="16" width="12" bestFit="1" customWidth="1"/>
    <col min="17" max="18" width="13.140625" bestFit="1" customWidth="1"/>
    <col min="19" max="19" width="13.28515625" bestFit="1" customWidth="1"/>
    <col min="20" max="20" width="17" bestFit="1" customWidth="1"/>
    <col min="21" max="21" width="12.28515625" bestFit="1" customWidth="1"/>
    <col min="22" max="22" width="12.140625" bestFit="1" customWidth="1"/>
    <col min="23" max="23" width="16" bestFit="1" customWidth="1"/>
    <col min="24" max="24" width="63.7109375" bestFit="1" customWidth="1"/>
    <col min="25" max="25" width="9.85546875" bestFit="1" customWidth="1"/>
  </cols>
  <sheetData>
    <row r="1" spans="1:25" s="27" customFormat="1" ht="60" x14ac:dyDescent="0.25">
      <c r="A1" s="19" t="s">
        <v>5</v>
      </c>
      <c r="B1" s="19" t="s">
        <v>10</v>
      </c>
      <c r="C1" s="58" t="s">
        <v>11</v>
      </c>
      <c r="D1" s="12" t="s">
        <v>155</v>
      </c>
      <c r="E1" s="12" t="s">
        <v>12</v>
      </c>
      <c r="F1" s="19" t="s">
        <v>159</v>
      </c>
      <c r="G1" s="19" t="s">
        <v>224</v>
      </c>
      <c r="H1" s="19" t="s">
        <v>225</v>
      </c>
      <c r="I1" s="28" t="s">
        <v>203</v>
      </c>
      <c r="J1" s="28" t="s">
        <v>204</v>
      </c>
      <c r="K1" s="26" t="s">
        <v>178</v>
      </c>
      <c r="L1" s="26" t="s">
        <v>179</v>
      </c>
      <c r="M1" s="20" t="s">
        <v>88</v>
      </c>
      <c r="N1" s="29" t="s">
        <v>180</v>
      </c>
      <c r="O1" s="29" t="s">
        <v>181</v>
      </c>
      <c r="P1" s="29" t="s">
        <v>89</v>
      </c>
      <c r="Q1" s="43" t="s">
        <v>212</v>
      </c>
      <c r="R1" s="43" t="s">
        <v>213</v>
      </c>
      <c r="S1" s="43" t="s">
        <v>214</v>
      </c>
      <c r="T1" s="43" t="s">
        <v>217</v>
      </c>
      <c r="U1" s="43" t="s">
        <v>218</v>
      </c>
      <c r="V1" s="43" t="s">
        <v>219</v>
      </c>
      <c r="W1" s="19" t="s">
        <v>8</v>
      </c>
      <c r="X1" s="19" t="s">
        <v>256</v>
      </c>
      <c r="Y1" s="19" t="s">
        <v>200</v>
      </c>
    </row>
    <row r="2" spans="1:25" x14ac:dyDescent="0.25">
      <c r="A2" t="s">
        <v>9</v>
      </c>
      <c r="B2" t="s">
        <v>112</v>
      </c>
      <c r="C2" s="11">
        <v>2</v>
      </c>
      <c r="D2" s="11">
        <v>365</v>
      </c>
      <c r="E2" s="11">
        <v>4.3276E-3</v>
      </c>
      <c r="F2" s="4" t="s">
        <v>114</v>
      </c>
      <c r="G2" t="s">
        <v>91</v>
      </c>
      <c r="H2" t="s">
        <v>145</v>
      </c>
      <c r="I2">
        <v>2</v>
      </c>
      <c r="J2">
        <v>1</v>
      </c>
      <c r="K2" s="13">
        <v>0</v>
      </c>
      <c r="L2" s="13">
        <v>365</v>
      </c>
      <c r="M2" s="13">
        <v>0.34166999999999997</v>
      </c>
      <c r="N2" s="30">
        <v>0</v>
      </c>
      <c r="O2" s="30">
        <v>365</v>
      </c>
      <c r="P2" s="30">
        <v>0.14960999999999999</v>
      </c>
      <c r="Q2" s="53">
        <v>15</v>
      </c>
      <c r="R2" s="53">
        <v>15</v>
      </c>
      <c r="S2" s="53">
        <v>0.1</v>
      </c>
      <c r="T2" s="57">
        <v>1000</v>
      </c>
      <c r="U2" s="57">
        <v>5000</v>
      </c>
      <c r="V2" s="57">
        <v>3000</v>
      </c>
      <c r="W2" t="s">
        <v>220</v>
      </c>
      <c r="X2" t="s">
        <v>258</v>
      </c>
      <c r="Y2" t="s">
        <v>264</v>
      </c>
    </row>
    <row r="3" spans="1:25" x14ac:dyDescent="0.25">
      <c r="A3" t="s">
        <v>9</v>
      </c>
      <c r="B3" t="s">
        <v>113</v>
      </c>
      <c r="C3" s="11">
        <v>2</v>
      </c>
      <c r="D3" s="11">
        <v>365</v>
      </c>
      <c r="E3" s="11">
        <v>4.3276E-3</v>
      </c>
      <c r="F3" s="4" t="s">
        <v>114</v>
      </c>
      <c r="G3" t="s">
        <v>92</v>
      </c>
      <c r="H3" t="s">
        <v>143</v>
      </c>
      <c r="I3">
        <v>2</v>
      </c>
      <c r="J3">
        <v>1</v>
      </c>
      <c r="K3" s="13">
        <v>0</v>
      </c>
      <c r="L3" s="13">
        <v>365</v>
      </c>
      <c r="M3" s="13">
        <v>0.34166999999999997</v>
      </c>
      <c r="N3" s="30">
        <v>0</v>
      </c>
      <c r="O3" s="30">
        <v>365</v>
      </c>
      <c r="P3" s="30">
        <v>0.14960999999999999</v>
      </c>
      <c r="Q3" s="53">
        <v>15</v>
      </c>
      <c r="R3" s="53">
        <v>15</v>
      </c>
      <c r="S3" s="53">
        <v>0.1</v>
      </c>
      <c r="T3" s="57">
        <v>1000</v>
      </c>
      <c r="U3" s="57">
        <v>5000</v>
      </c>
      <c r="V3" s="57">
        <v>3000</v>
      </c>
      <c r="W3" t="s">
        <v>220</v>
      </c>
      <c r="X3" t="s">
        <v>257</v>
      </c>
      <c r="Y3" t="s">
        <v>264</v>
      </c>
    </row>
  </sheetData>
  <pageMargins left="0.75" right="0.75" top="1" bottom="1" header="0.5" footer="0.5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"/>
  <sheetViews>
    <sheetView workbookViewId="0">
      <selection activeCell="J11" sqref="J11"/>
    </sheetView>
  </sheetViews>
  <sheetFormatPr defaultRowHeight="15" x14ac:dyDescent="0.25"/>
  <cols>
    <col min="1" max="2" width="8.42578125" bestFit="1" customWidth="1"/>
    <col min="3" max="3" width="11.5703125" customWidth="1"/>
    <col min="4" max="4" width="9" bestFit="1" customWidth="1"/>
    <col min="5" max="5" width="13.28515625" customWidth="1"/>
    <col min="6" max="6" width="8.28515625" bestFit="1" customWidth="1"/>
    <col min="7" max="7" width="10.140625" customWidth="1"/>
    <col min="8" max="8" width="8" bestFit="1" customWidth="1"/>
    <col min="9" max="9" width="20.140625" bestFit="1" customWidth="1"/>
    <col min="10" max="10" width="59.7109375" bestFit="1" customWidth="1"/>
  </cols>
  <sheetData>
    <row r="1" spans="1:10" s="2" customFormat="1" ht="90" x14ac:dyDescent="0.25">
      <c r="A1" s="3" t="s">
        <v>5</v>
      </c>
      <c r="B1" s="3" t="s">
        <v>10</v>
      </c>
      <c r="C1" s="3" t="s">
        <v>11</v>
      </c>
      <c r="D1" s="3" t="s">
        <v>85</v>
      </c>
      <c r="E1" s="3" t="s">
        <v>122</v>
      </c>
      <c r="F1" s="3" t="s">
        <v>86</v>
      </c>
      <c r="G1" s="3" t="s">
        <v>123</v>
      </c>
      <c r="H1" s="3" t="s">
        <v>87</v>
      </c>
      <c r="I1" s="3" t="s">
        <v>8</v>
      </c>
      <c r="J1" s="3" t="s">
        <v>256</v>
      </c>
    </row>
    <row r="2" spans="1:10" x14ac:dyDescent="0.25">
      <c r="A2" t="s">
        <v>9</v>
      </c>
      <c r="B2" t="s">
        <v>9</v>
      </c>
      <c r="C2">
        <v>1</v>
      </c>
      <c r="D2">
        <v>7.3332999999999995E-2</v>
      </c>
      <c r="E2" t="b">
        <v>1</v>
      </c>
      <c r="F2">
        <v>0.11364</v>
      </c>
      <c r="G2" t="b">
        <v>1</v>
      </c>
      <c r="H2">
        <v>0.11364</v>
      </c>
      <c r="I2" t="s">
        <v>134</v>
      </c>
      <c r="J2" t="s">
        <v>233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Z3"/>
  <sheetViews>
    <sheetView topLeftCell="AP1" workbookViewId="0">
      <selection activeCell="AV28" sqref="AV28"/>
    </sheetView>
  </sheetViews>
  <sheetFormatPr defaultColWidth="13.7109375" defaultRowHeight="15" x14ac:dyDescent="0.25"/>
  <cols>
    <col min="1" max="1" width="9.5703125" bestFit="1" customWidth="1"/>
    <col min="2" max="2" width="11.140625" bestFit="1" customWidth="1"/>
    <col min="3" max="5" width="11.42578125" bestFit="1" customWidth="1"/>
    <col min="6" max="6" width="12.5703125" bestFit="1" customWidth="1"/>
    <col min="7" max="7" width="12.85546875" bestFit="1" customWidth="1"/>
    <col min="8" max="8" width="12.5703125" bestFit="1" customWidth="1"/>
    <col min="9" max="9" width="12.85546875" bestFit="1" customWidth="1"/>
    <col min="10" max="10" width="13.42578125" style="4" bestFit="1" customWidth="1"/>
    <col min="11" max="11" width="10.28515625" style="4" bestFit="1" customWidth="1"/>
    <col min="12" max="12" width="11.5703125" bestFit="1" customWidth="1"/>
    <col min="13" max="13" width="11.140625" bestFit="1" customWidth="1"/>
    <col min="14" max="14" width="8.28515625" bestFit="1" customWidth="1"/>
    <col min="15" max="15" width="11.28515625" bestFit="1" customWidth="1"/>
    <col min="16" max="17" width="10.7109375" bestFit="1" customWidth="1"/>
    <col min="18" max="18" width="10.85546875" bestFit="1" customWidth="1"/>
    <col min="19" max="19" width="10.7109375" bestFit="1" customWidth="1"/>
    <col min="20" max="22" width="11" bestFit="1" customWidth="1"/>
    <col min="23" max="23" width="10" bestFit="1" customWidth="1"/>
    <col min="24" max="24" width="10.28515625" bestFit="1" customWidth="1"/>
    <col min="25" max="25" width="9.42578125" bestFit="1" customWidth="1"/>
    <col min="26" max="27" width="13.5703125" bestFit="1" customWidth="1"/>
    <col min="29" max="30" width="14" bestFit="1" customWidth="1"/>
    <col min="32" max="32" width="9.140625" bestFit="1" customWidth="1"/>
    <col min="33" max="35" width="19.85546875" bestFit="1" customWidth="1"/>
    <col min="36" max="36" width="10" bestFit="1" customWidth="1"/>
    <col min="48" max="49" width="63.7109375" bestFit="1" customWidth="1"/>
  </cols>
  <sheetData>
    <row r="1" spans="1:52" s="2" customFormat="1" ht="90" x14ac:dyDescent="0.25">
      <c r="A1" s="19" t="s">
        <v>5</v>
      </c>
      <c r="B1" s="19" t="s">
        <v>10</v>
      </c>
      <c r="C1" s="12" t="s">
        <v>155</v>
      </c>
      <c r="D1" s="12" t="s">
        <v>11</v>
      </c>
      <c r="E1" s="12" t="s">
        <v>12</v>
      </c>
      <c r="F1" s="24" t="s">
        <v>226</v>
      </c>
      <c r="G1" s="31" t="s">
        <v>222</v>
      </c>
      <c r="H1" s="19" t="s">
        <v>250</v>
      </c>
      <c r="I1" s="39" t="s">
        <v>221</v>
      </c>
      <c r="J1" s="40" t="s">
        <v>205</v>
      </c>
      <c r="K1" s="39" t="s">
        <v>65</v>
      </c>
      <c r="L1" s="39" t="s">
        <v>66</v>
      </c>
      <c r="M1" s="41" t="s">
        <v>67</v>
      </c>
      <c r="N1" s="41" t="s">
        <v>68</v>
      </c>
      <c r="O1" s="41" t="s">
        <v>248</v>
      </c>
      <c r="P1" s="41" t="s">
        <v>249</v>
      </c>
      <c r="Q1" s="42" t="s">
        <v>206</v>
      </c>
      <c r="R1" s="43" t="s">
        <v>185</v>
      </c>
      <c r="S1" s="43" t="s">
        <v>186</v>
      </c>
      <c r="T1" s="19" t="s">
        <v>187</v>
      </c>
      <c r="U1" s="19" t="s">
        <v>188</v>
      </c>
      <c r="V1" s="23" t="s">
        <v>189</v>
      </c>
      <c r="W1" s="32" t="s">
        <v>160</v>
      </c>
      <c r="X1" s="32" t="s">
        <v>161</v>
      </c>
      <c r="Y1" s="32" t="s">
        <v>69</v>
      </c>
      <c r="Z1" s="19" t="s">
        <v>223</v>
      </c>
      <c r="AA1" s="26" t="s">
        <v>190</v>
      </c>
      <c r="AB1" s="20" t="s">
        <v>162</v>
      </c>
      <c r="AC1" s="20" t="s">
        <v>163</v>
      </c>
      <c r="AD1" s="26" t="s">
        <v>70</v>
      </c>
      <c r="AE1" s="21" t="s">
        <v>191</v>
      </c>
      <c r="AF1" s="22" t="s">
        <v>164</v>
      </c>
      <c r="AG1" s="21" t="s">
        <v>165</v>
      </c>
      <c r="AH1" s="22" t="s">
        <v>119</v>
      </c>
      <c r="AI1" s="36" t="s">
        <v>192</v>
      </c>
      <c r="AJ1" s="44" t="s">
        <v>166</v>
      </c>
      <c r="AK1" s="44" t="s">
        <v>167</v>
      </c>
      <c r="AL1" s="44" t="s">
        <v>120</v>
      </c>
      <c r="AM1" s="45" t="s">
        <v>193</v>
      </c>
      <c r="AN1" s="45" t="s">
        <v>168</v>
      </c>
      <c r="AO1" s="45" t="s">
        <v>169</v>
      </c>
      <c r="AP1" s="45" t="s">
        <v>71</v>
      </c>
      <c r="AQ1" s="46" t="s">
        <v>194</v>
      </c>
      <c r="AR1" s="47" t="s">
        <v>170</v>
      </c>
      <c r="AS1" s="47" t="s">
        <v>171</v>
      </c>
      <c r="AT1" s="47" t="s">
        <v>121</v>
      </c>
      <c r="AU1" s="19" t="s">
        <v>8</v>
      </c>
      <c r="AV1" s="28" t="s">
        <v>256</v>
      </c>
      <c r="AW1" s="28" t="s">
        <v>183</v>
      </c>
      <c r="AX1" s="19" t="s">
        <v>200</v>
      </c>
      <c r="AY1" s="19" t="s">
        <v>251</v>
      </c>
      <c r="AZ1" s="19" t="s">
        <v>252</v>
      </c>
    </row>
    <row r="2" spans="1:52" x14ac:dyDescent="0.25">
      <c r="A2" t="s">
        <v>9</v>
      </c>
      <c r="B2" t="s">
        <v>93</v>
      </c>
      <c r="C2" s="11">
        <v>365</v>
      </c>
      <c r="D2" s="11">
        <v>400</v>
      </c>
      <c r="E2" s="11">
        <v>1.4999999999999999E-2</v>
      </c>
      <c r="F2" s="48" t="s">
        <v>114</v>
      </c>
      <c r="G2" s="18" t="s">
        <v>124</v>
      </c>
      <c r="H2" s="49">
        <v>735</v>
      </c>
      <c r="I2" s="50" t="s">
        <v>111</v>
      </c>
      <c r="J2" s="49" t="s">
        <v>74</v>
      </c>
      <c r="K2" s="50">
        <v>0.9</v>
      </c>
      <c r="L2" s="50">
        <v>0.05</v>
      </c>
      <c r="M2" s="51">
        <v>0.9</v>
      </c>
      <c r="N2" s="51">
        <v>0.5</v>
      </c>
      <c r="O2" s="51">
        <f>24*21</f>
        <v>504</v>
      </c>
      <c r="P2" s="51">
        <f>24*7*6</f>
        <v>1008</v>
      </c>
      <c r="Q2" s="52" t="s">
        <v>111</v>
      </c>
      <c r="R2" s="53">
        <v>3</v>
      </c>
      <c r="S2" s="53">
        <v>0</v>
      </c>
      <c r="T2">
        <f>60*15</f>
        <v>900</v>
      </c>
      <c r="U2">
        <f>ROUND(150*600/14.7,0)</f>
        <v>6122</v>
      </c>
      <c r="V2" s="17">
        <v>1</v>
      </c>
      <c r="W2" s="17">
        <v>0</v>
      </c>
      <c r="X2" s="17">
        <v>182.5</v>
      </c>
      <c r="Y2" s="17">
        <v>0.21634999999999999</v>
      </c>
      <c r="Z2" t="b">
        <v>1</v>
      </c>
      <c r="AA2" s="13">
        <v>1</v>
      </c>
      <c r="AB2" s="13">
        <v>0</v>
      </c>
      <c r="AC2" s="13">
        <v>182.5</v>
      </c>
      <c r="AD2" s="13">
        <v>8.3141000000000007E-2</v>
      </c>
      <c r="AE2" s="15">
        <v>1</v>
      </c>
      <c r="AF2" s="15">
        <v>0</v>
      </c>
      <c r="AG2" s="15">
        <v>182.5</v>
      </c>
      <c r="AH2" s="15">
        <v>0.47815999999999997</v>
      </c>
      <c r="AI2" s="37">
        <v>1</v>
      </c>
      <c r="AJ2" s="37">
        <v>0</v>
      </c>
      <c r="AK2" s="37">
        <v>121.66670000000001</v>
      </c>
      <c r="AL2" s="37">
        <v>2.6738E-3</v>
      </c>
      <c r="AM2" s="54">
        <v>1</v>
      </c>
      <c r="AN2" s="54">
        <v>0</v>
      </c>
      <c r="AO2" s="54">
        <v>182.5</v>
      </c>
      <c r="AP2" s="54">
        <v>0.11268</v>
      </c>
      <c r="AQ2" s="55">
        <v>1</v>
      </c>
      <c r="AR2" s="55">
        <v>0</v>
      </c>
      <c r="AS2" s="55">
        <v>121.66670000000001</v>
      </c>
      <c r="AT2" s="55">
        <v>2.7855000000000002E-3</v>
      </c>
      <c r="AU2" t="s">
        <v>128</v>
      </c>
      <c r="AV2" t="s">
        <v>257</v>
      </c>
      <c r="AW2" t="s">
        <v>257</v>
      </c>
      <c r="AX2" t="s">
        <v>262</v>
      </c>
      <c r="AY2">
        <v>0.35</v>
      </c>
      <c r="AZ2" t="s">
        <v>253</v>
      </c>
    </row>
    <row r="3" spans="1:52" x14ac:dyDescent="0.25">
      <c r="A3" t="s">
        <v>9</v>
      </c>
      <c r="B3" t="s">
        <v>94</v>
      </c>
      <c r="C3" s="11">
        <v>365</v>
      </c>
      <c r="D3" s="11">
        <v>400</v>
      </c>
      <c r="E3" s="11">
        <v>1.4999999999999999E-2</v>
      </c>
      <c r="F3" s="48" t="s">
        <v>114</v>
      </c>
      <c r="G3" s="18" t="s">
        <v>124</v>
      </c>
      <c r="H3" s="49">
        <v>735</v>
      </c>
      <c r="I3" s="50" t="s">
        <v>111</v>
      </c>
      <c r="J3" s="49" t="s">
        <v>74</v>
      </c>
      <c r="K3" s="50">
        <v>0.9</v>
      </c>
      <c r="L3" s="50">
        <v>0.05</v>
      </c>
      <c r="M3" s="51">
        <v>0.9</v>
      </c>
      <c r="N3" s="51">
        <v>0.5</v>
      </c>
      <c r="O3" s="51">
        <f>24*21</f>
        <v>504</v>
      </c>
      <c r="P3" s="51">
        <f>24*7*6</f>
        <v>1008</v>
      </c>
      <c r="Q3" s="52" t="s">
        <v>111</v>
      </c>
      <c r="R3" s="53">
        <v>3</v>
      </c>
      <c r="S3" s="53">
        <v>0</v>
      </c>
      <c r="T3">
        <f>60*15</f>
        <v>900</v>
      </c>
      <c r="U3">
        <f>ROUND(150*600/14.7,0)</f>
        <v>6122</v>
      </c>
      <c r="V3" s="17">
        <v>1</v>
      </c>
      <c r="W3" s="17">
        <v>0</v>
      </c>
      <c r="X3" s="17">
        <v>182.5</v>
      </c>
      <c r="Y3" s="17">
        <v>0.21634999999999999</v>
      </c>
      <c r="Z3" t="b">
        <v>1</v>
      </c>
      <c r="AA3" s="13">
        <v>1</v>
      </c>
      <c r="AB3" s="13">
        <v>0</v>
      </c>
      <c r="AC3" s="13">
        <v>182.5</v>
      </c>
      <c r="AD3" s="13">
        <v>8.3141000000000007E-2</v>
      </c>
      <c r="AE3" s="15">
        <v>1</v>
      </c>
      <c r="AF3" s="15">
        <v>0</v>
      </c>
      <c r="AG3" s="15">
        <v>182.5</v>
      </c>
      <c r="AH3" s="15">
        <v>0.47815999999999997</v>
      </c>
      <c r="AI3" s="37">
        <v>1</v>
      </c>
      <c r="AJ3" s="37">
        <v>0</v>
      </c>
      <c r="AK3" s="37">
        <v>121.66670000000001</v>
      </c>
      <c r="AL3" s="37">
        <v>2.6738E-3</v>
      </c>
      <c r="AM3" s="54">
        <v>1</v>
      </c>
      <c r="AN3" s="54">
        <v>0</v>
      </c>
      <c r="AO3" s="54">
        <v>182.5</v>
      </c>
      <c r="AP3" s="54">
        <v>0.11268</v>
      </c>
      <c r="AQ3" s="55">
        <v>1</v>
      </c>
      <c r="AR3" s="55">
        <v>0</v>
      </c>
      <c r="AS3" s="55">
        <v>121.66670000000001</v>
      </c>
      <c r="AT3" s="55">
        <v>2.7855000000000002E-3</v>
      </c>
      <c r="AU3" t="s">
        <v>128</v>
      </c>
      <c r="AV3" t="s">
        <v>257</v>
      </c>
      <c r="AW3" t="s">
        <v>257</v>
      </c>
      <c r="AX3" t="s">
        <v>262</v>
      </c>
      <c r="AY3">
        <v>0.35</v>
      </c>
      <c r="AZ3" t="s">
        <v>253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"/>
  <sheetViews>
    <sheetView workbookViewId="0">
      <selection activeCell="H16" sqref="H16"/>
    </sheetView>
  </sheetViews>
  <sheetFormatPr defaultRowHeight="15" x14ac:dyDescent="0.25"/>
  <cols>
    <col min="1" max="1" width="17.5703125" bestFit="1" customWidth="1"/>
    <col min="2" max="2" width="11" bestFit="1" customWidth="1"/>
    <col min="3" max="3" width="19.140625" bestFit="1" customWidth="1"/>
    <col min="4" max="4" width="11" bestFit="1" customWidth="1"/>
    <col min="5" max="5" width="19.140625" bestFit="1" customWidth="1"/>
    <col min="6" max="6" width="14.140625" bestFit="1" customWidth="1"/>
    <col min="7" max="7" width="20.28515625" bestFit="1" customWidth="1"/>
  </cols>
  <sheetData>
    <row r="1" spans="1:7" x14ac:dyDescent="0.25">
      <c r="A1" s="1" t="s">
        <v>8</v>
      </c>
      <c r="B1" s="1" t="s">
        <v>95</v>
      </c>
      <c r="C1" s="1" t="s">
        <v>96</v>
      </c>
      <c r="D1" s="1" t="s">
        <v>97</v>
      </c>
      <c r="E1" s="1" t="s">
        <v>98</v>
      </c>
      <c r="F1" s="1" t="s">
        <v>13</v>
      </c>
      <c r="G1" s="1" t="s">
        <v>99</v>
      </c>
    </row>
  </sheetData>
  <phoneticPr fontId="3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C564A-61B1-4DD0-BE25-2595F50D554C}">
  <dimension ref="A1:G120"/>
  <sheetViews>
    <sheetView topLeftCell="A76" workbookViewId="0">
      <selection activeCell="E121" sqref="E121"/>
    </sheetView>
  </sheetViews>
  <sheetFormatPr defaultRowHeight="15" x14ac:dyDescent="0.25"/>
  <cols>
    <col min="1" max="1" width="12.85546875" customWidth="1"/>
    <col min="2" max="2" width="19.28515625" customWidth="1"/>
    <col min="3" max="3" width="23.42578125" customWidth="1"/>
    <col min="4" max="4" width="16.140625" customWidth="1"/>
    <col min="5" max="5" width="19.7109375" customWidth="1"/>
    <col min="6" max="6" width="17.140625" customWidth="1"/>
    <col min="7" max="7" width="23.85546875" bestFit="1" customWidth="1"/>
  </cols>
  <sheetData>
    <row r="1" spans="1:7" x14ac:dyDescent="0.25">
      <c r="A1" s="1" t="s">
        <v>8</v>
      </c>
      <c r="B1" s="1" t="s">
        <v>135</v>
      </c>
      <c r="C1" s="1" t="s">
        <v>136</v>
      </c>
      <c r="D1" s="1" t="s">
        <v>137</v>
      </c>
      <c r="E1" s="1" t="s">
        <v>138</v>
      </c>
      <c r="F1" s="8" t="s">
        <v>139</v>
      </c>
      <c r="G1" s="8" t="s">
        <v>140</v>
      </c>
    </row>
    <row r="2" spans="1:7" x14ac:dyDescent="0.25">
      <c r="A2" t="s">
        <v>141</v>
      </c>
      <c r="B2" t="s">
        <v>9</v>
      </c>
      <c r="C2" t="s">
        <v>14</v>
      </c>
      <c r="D2" t="s">
        <v>9</v>
      </c>
      <c r="E2" t="s">
        <v>142</v>
      </c>
      <c r="F2" t="s">
        <v>143</v>
      </c>
      <c r="G2" s="9"/>
    </row>
    <row r="3" spans="1:7" x14ac:dyDescent="0.25">
      <c r="A3" t="s">
        <v>141</v>
      </c>
      <c r="B3" t="s">
        <v>9</v>
      </c>
      <c r="C3" t="s">
        <v>15</v>
      </c>
      <c r="D3" t="s">
        <v>9</v>
      </c>
      <c r="E3" t="s">
        <v>142</v>
      </c>
      <c r="F3" t="s">
        <v>143</v>
      </c>
    </row>
    <row r="4" spans="1:7" x14ac:dyDescent="0.25">
      <c r="A4" t="s">
        <v>141</v>
      </c>
      <c r="B4" t="s">
        <v>9</v>
      </c>
      <c r="C4" t="s">
        <v>16</v>
      </c>
      <c r="D4" t="s">
        <v>9</v>
      </c>
      <c r="E4" t="s">
        <v>142</v>
      </c>
      <c r="F4" t="s">
        <v>143</v>
      </c>
    </row>
    <row r="5" spans="1:7" x14ac:dyDescent="0.25">
      <c r="A5" t="s">
        <v>141</v>
      </c>
      <c r="B5" t="s">
        <v>9</v>
      </c>
      <c r="C5" t="s">
        <v>17</v>
      </c>
      <c r="D5" t="s">
        <v>9</v>
      </c>
      <c r="E5" t="s">
        <v>142</v>
      </c>
      <c r="F5" t="s">
        <v>143</v>
      </c>
    </row>
    <row r="6" spans="1:7" x14ac:dyDescent="0.25">
      <c r="A6" t="s">
        <v>141</v>
      </c>
      <c r="B6" t="s">
        <v>9</v>
      </c>
      <c r="C6" t="s">
        <v>18</v>
      </c>
      <c r="D6" t="s">
        <v>9</v>
      </c>
      <c r="E6" t="s">
        <v>142</v>
      </c>
      <c r="F6" t="s">
        <v>143</v>
      </c>
    </row>
    <row r="7" spans="1:7" x14ac:dyDescent="0.25">
      <c r="A7" t="s">
        <v>141</v>
      </c>
      <c r="B7" t="s">
        <v>9</v>
      </c>
      <c r="C7" t="s">
        <v>19</v>
      </c>
      <c r="D7" t="s">
        <v>9</v>
      </c>
      <c r="E7" t="s">
        <v>142</v>
      </c>
      <c r="F7" t="s">
        <v>143</v>
      </c>
    </row>
    <row r="8" spans="1:7" x14ac:dyDescent="0.25">
      <c r="A8" t="s">
        <v>141</v>
      </c>
      <c r="B8" t="s">
        <v>9</v>
      </c>
      <c r="C8" t="s">
        <v>20</v>
      </c>
      <c r="D8" t="s">
        <v>9</v>
      </c>
      <c r="E8" t="s">
        <v>142</v>
      </c>
      <c r="F8" t="s">
        <v>143</v>
      </c>
    </row>
    <row r="9" spans="1:7" x14ac:dyDescent="0.25">
      <c r="A9" t="s">
        <v>141</v>
      </c>
      <c r="B9" t="s">
        <v>9</v>
      </c>
      <c r="C9" t="s">
        <v>21</v>
      </c>
      <c r="D9" t="s">
        <v>9</v>
      </c>
      <c r="E9" t="s">
        <v>142</v>
      </c>
      <c r="F9" t="s">
        <v>143</v>
      </c>
    </row>
    <row r="10" spans="1:7" x14ac:dyDescent="0.25">
      <c r="A10" t="s">
        <v>141</v>
      </c>
      <c r="B10" t="s">
        <v>9</v>
      </c>
      <c r="C10" t="s">
        <v>22</v>
      </c>
      <c r="D10" t="s">
        <v>9</v>
      </c>
      <c r="E10" t="s">
        <v>142</v>
      </c>
      <c r="F10" t="s">
        <v>143</v>
      </c>
    </row>
    <row r="11" spans="1:7" x14ac:dyDescent="0.25">
      <c r="A11" t="s">
        <v>141</v>
      </c>
      <c r="B11" t="s">
        <v>9</v>
      </c>
      <c r="C11" t="s">
        <v>23</v>
      </c>
      <c r="D11" t="s">
        <v>9</v>
      </c>
      <c r="E11" t="s">
        <v>142</v>
      </c>
      <c r="F11" t="s">
        <v>143</v>
      </c>
    </row>
    <row r="12" spans="1:7" x14ac:dyDescent="0.25">
      <c r="A12" t="s">
        <v>141</v>
      </c>
      <c r="B12" t="s">
        <v>9</v>
      </c>
      <c r="C12" t="s">
        <v>24</v>
      </c>
      <c r="D12" t="s">
        <v>9</v>
      </c>
      <c r="E12" t="s">
        <v>142</v>
      </c>
      <c r="F12" t="s">
        <v>143</v>
      </c>
    </row>
    <row r="13" spans="1:7" x14ac:dyDescent="0.25">
      <c r="A13" t="s">
        <v>141</v>
      </c>
      <c r="B13" t="s">
        <v>9</v>
      </c>
      <c r="C13" t="s">
        <v>25</v>
      </c>
      <c r="D13" t="s">
        <v>9</v>
      </c>
      <c r="E13" t="s">
        <v>142</v>
      </c>
      <c r="F13" t="s">
        <v>143</v>
      </c>
    </row>
    <row r="14" spans="1:7" x14ac:dyDescent="0.25">
      <c r="A14" t="s">
        <v>141</v>
      </c>
      <c r="B14" t="s">
        <v>9</v>
      </c>
      <c r="C14" t="s">
        <v>26</v>
      </c>
      <c r="D14" t="s">
        <v>9</v>
      </c>
      <c r="E14" t="s">
        <v>142</v>
      </c>
      <c r="F14" t="s">
        <v>143</v>
      </c>
    </row>
    <row r="15" spans="1:7" x14ac:dyDescent="0.25">
      <c r="A15" t="s">
        <v>141</v>
      </c>
      <c r="B15" t="s">
        <v>9</v>
      </c>
      <c r="C15" t="s">
        <v>27</v>
      </c>
      <c r="D15" t="s">
        <v>9</v>
      </c>
      <c r="E15" t="s">
        <v>142</v>
      </c>
      <c r="F15" t="s">
        <v>143</v>
      </c>
    </row>
    <row r="16" spans="1:7" x14ac:dyDescent="0.25">
      <c r="A16" t="s">
        <v>141</v>
      </c>
      <c r="B16" t="s">
        <v>9</v>
      </c>
      <c r="C16" t="s">
        <v>28</v>
      </c>
      <c r="D16" t="s">
        <v>9</v>
      </c>
      <c r="E16" t="s">
        <v>142</v>
      </c>
      <c r="F16" t="s">
        <v>143</v>
      </c>
    </row>
    <row r="17" spans="1:6" x14ac:dyDescent="0.25">
      <c r="A17" t="s">
        <v>141</v>
      </c>
      <c r="B17" t="s">
        <v>9</v>
      </c>
      <c r="C17" t="s">
        <v>29</v>
      </c>
      <c r="D17" t="s">
        <v>9</v>
      </c>
      <c r="E17" t="s">
        <v>142</v>
      </c>
      <c r="F17" t="s">
        <v>143</v>
      </c>
    </row>
    <row r="18" spans="1:6" x14ac:dyDescent="0.25">
      <c r="A18" t="s">
        <v>141</v>
      </c>
      <c r="B18" t="s">
        <v>9</v>
      </c>
      <c r="C18" t="s">
        <v>30</v>
      </c>
      <c r="D18" t="s">
        <v>9</v>
      </c>
      <c r="E18" t="s">
        <v>142</v>
      </c>
      <c r="F18" t="s">
        <v>143</v>
      </c>
    </row>
    <row r="19" spans="1:6" x14ac:dyDescent="0.25">
      <c r="A19" t="s">
        <v>141</v>
      </c>
      <c r="B19" t="s">
        <v>9</v>
      </c>
      <c r="C19" t="s">
        <v>31</v>
      </c>
      <c r="D19" t="s">
        <v>9</v>
      </c>
      <c r="E19" t="s">
        <v>142</v>
      </c>
      <c r="F19" t="s">
        <v>143</v>
      </c>
    </row>
    <row r="20" spans="1:6" x14ac:dyDescent="0.25">
      <c r="A20" t="s">
        <v>141</v>
      </c>
      <c r="B20" t="s">
        <v>9</v>
      </c>
      <c r="C20" t="s">
        <v>32</v>
      </c>
      <c r="D20" t="s">
        <v>9</v>
      </c>
      <c r="E20" t="s">
        <v>142</v>
      </c>
      <c r="F20" t="s">
        <v>143</v>
      </c>
    </row>
    <row r="21" spans="1:6" x14ac:dyDescent="0.25">
      <c r="A21" t="s">
        <v>141</v>
      </c>
      <c r="B21" t="s">
        <v>9</v>
      </c>
      <c r="C21" t="s">
        <v>33</v>
      </c>
      <c r="D21" t="s">
        <v>9</v>
      </c>
      <c r="E21" t="s">
        <v>142</v>
      </c>
      <c r="F21" t="s">
        <v>143</v>
      </c>
    </row>
    <row r="22" spans="1:6" x14ac:dyDescent="0.25">
      <c r="A22" t="s">
        <v>141</v>
      </c>
      <c r="B22" t="s">
        <v>9</v>
      </c>
      <c r="C22" t="s">
        <v>34</v>
      </c>
      <c r="D22" t="s">
        <v>9</v>
      </c>
      <c r="E22" t="s">
        <v>142</v>
      </c>
      <c r="F22" t="s">
        <v>143</v>
      </c>
    </row>
    <row r="23" spans="1:6" x14ac:dyDescent="0.25">
      <c r="A23" t="s">
        <v>141</v>
      </c>
      <c r="B23" t="s">
        <v>9</v>
      </c>
      <c r="C23" t="s">
        <v>35</v>
      </c>
      <c r="D23" t="s">
        <v>9</v>
      </c>
      <c r="E23" t="s">
        <v>142</v>
      </c>
      <c r="F23" t="s">
        <v>143</v>
      </c>
    </row>
    <row r="24" spans="1:6" x14ac:dyDescent="0.25">
      <c r="A24" t="s">
        <v>141</v>
      </c>
      <c r="B24" t="s">
        <v>9</v>
      </c>
      <c r="C24" t="s">
        <v>36</v>
      </c>
      <c r="D24" t="s">
        <v>9</v>
      </c>
      <c r="E24" t="s">
        <v>142</v>
      </c>
      <c r="F24" t="s">
        <v>143</v>
      </c>
    </row>
    <row r="25" spans="1:6" x14ac:dyDescent="0.25">
      <c r="A25" t="s">
        <v>141</v>
      </c>
      <c r="B25" t="s">
        <v>9</v>
      </c>
      <c r="C25" t="s">
        <v>37</v>
      </c>
      <c r="D25" t="s">
        <v>9</v>
      </c>
      <c r="E25" t="s">
        <v>142</v>
      </c>
      <c r="F25" t="s">
        <v>143</v>
      </c>
    </row>
    <row r="26" spans="1:6" x14ac:dyDescent="0.25">
      <c r="A26" t="s">
        <v>141</v>
      </c>
      <c r="B26" t="s">
        <v>9</v>
      </c>
      <c r="C26" t="s">
        <v>38</v>
      </c>
      <c r="D26" t="s">
        <v>9</v>
      </c>
      <c r="E26" t="s">
        <v>142</v>
      </c>
      <c r="F26" t="s">
        <v>143</v>
      </c>
    </row>
    <row r="27" spans="1:6" x14ac:dyDescent="0.25">
      <c r="A27" t="s">
        <v>141</v>
      </c>
      <c r="B27" t="s">
        <v>9</v>
      </c>
      <c r="C27" t="s">
        <v>39</v>
      </c>
      <c r="D27" t="s">
        <v>9</v>
      </c>
      <c r="E27" t="s">
        <v>142</v>
      </c>
      <c r="F27" t="s">
        <v>143</v>
      </c>
    </row>
    <row r="28" spans="1:6" x14ac:dyDescent="0.25">
      <c r="A28" t="s">
        <v>141</v>
      </c>
      <c r="B28" t="s">
        <v>9</v>
      </c>
      <c r="C28" t="s">
        <v>40</v>
      </c>
      <c r="D28" t="s">
        <v>9</v>
      </c>
      <c r="E28" t="s">
        <v>142</v>
      </c>
      <c r="F28" t="s">
        <v>143</v>
      </c>
    </row>
    <row r="29" spans="1:6" x14ac:dyDescent="0.25">
      <c r="A29" t="s">
        <v>141</v>
      </c>
      <c r="B29" t="s">
        <v>9</v>
      </c>
      <c r="C29" t="s">
        <v>41</v>
      </c>
      <c r="D29" t="s">
        <v>9</v>
      </c>
      <c r="E29" t="s">
        <v>142</v>
      </c>
      <c r="F29" t="s">
        <v>143</v>
      </c>
    </row>
    <row r="30" spans="1:6" x14ac:dyDescent="0.25">
      <c r="A30" t="s">
        <v>141</v>
      </c>
      <c r="B30" t="s">
        <v>9</v>
      </c>
      <c r="C30" t="s">
        <v>42</v>
      </c>
      <c r="D30" t="s">
        <v>9</v>
      </c>
      <c r="E30" t="s">
        <v>142</v>
      </c>
      <c r="F30" t="s">
        <v>143</v>
      </c>
    </row>
    <row r="31" spans="1:6" x14ac:dyDescent="0.25">
      <c r="A31" t="s">
        <v>141</v>
      </c>
      <c r="B31" t="s">
        <v>9</v>
      </c>
      <c r="C31" t="s">
        <v>43</v>
      </c>
      <c r="D31" t="s">
        <v>9</v>
      </c>
      <c r="E31" t="s">
        <v>142</v>
      </c>
      <c r="F31" t="s">
        <v>143</v>
      </c>
    </row>
    <row r="32" spans="1:6" x14ac:dyDescent="0.25">
      <c r="A32" t="s">
        <v>141</v>
      </c>
      <c r="B32" t="s">
        <v>9</v>
      </c>
      <c r="C32" t="s">
        <v>44</v>
      </c>
      <c r="D32" t="s">
        <v>9</v>
      </c>
      <c r="E32" t="s">
        <v>142</v>
      </c>
      <c r="F32" t="s">
        <v>143</v>
      </c>
    </row>
    <row r="33" spans="1:6" x14ac:dyDescent="0.25">
      <c r="A33" t="s">
        <v>141</v>
      </c>
      <c r="B33" t="s">
        <v>9</v>
      </c>
      <c r="C33" t="s">
        <v>45</v>
      </c>
      <c r="D33" t="s">
        <v>9</v>
      </c>
      <c r="E33" t="s">
        <v>142</v>
      </c>
      <c r="F33" t="s">
        <v>143</v>
      </c>
    </row>
    <row r="34" spans="1:6" x14ac:dyDescent="0.25">
      <c r="A34" t="s">
        <v>141</v>
      </c>
      <c r="B34" t="s">
        <v>9</v>
      </c>
      <c r="C34" t="s">
        <v>46</v>
      </c>
      <c r="D34" t="s">
        <v>9</v>
      </c>
      <c r="E34" t="s">
        <v>142</v>
      </c>
      <c r="F34" t="s">
        <v>143</v>
      </c>
    </row>
    <row r="35" spans="1:6" x14ac:dyDescent="0.25">
      <c r="A35" t="s">
        <v>141</v>
      </c>
      <c r="B35" t="s">
        <v>9</v>
      </c>
      <c r="C35" t="s">
        <v>47</v>
      </c>
      <c r="D35" t="s">
        <v>9</v>
      </c>
      <c r="E35" t="s">
        <v>142</v>
      </c>
      <c r="F35" t="s">
        <v>143</v>
      </c>
    </row>
    <row r="36" spans="1:6" x14ac:dyDescent="0.25">
      <c r="A36" t="s">
        <v>141</v>
      </c>
      <c r="B36" t="s">
        <v>9</v>
      </c>
      <c r="C36" t="s">
        <v>48</v>
      </c>
      <c r="D36" t="s">
        <v>9</v>
      </c>
      <c r="E36" t="s">
        <v>142</v>
      </c>
      <c r="F36" t="s">
        <v>143</v>
      </c>
    </row>
    <row r="37" spans="1:6" x14ac:dyDescent="0.25">
      <c r="A37" t="s">
        <v>141</v>
      </c>
      <c r="B37" t="s">
        <v>9</v>
      </c>
      <c r="C37" t="s">
        <v>49</v>
      </c>
      <c r="D37" t="s">
        <v>9</v>
      </c>
      <c r="E37" t="s">
        <v>142</v>
      </c>
      <c r="F37" t="s">
        <v>143</v>
      </c>
    </row>
    <row r="38" spans="1:6" x14ac:dyDescent="0.25">
      <c r="A38" t="s">
        <v>141</v>
      </c>
      <c r="B38" t="s">
        <v>9</v>
      </c>
      <c r="C38" t="s">
        <v>50</v>
      </c>
      <c r="D38" t="s">
        <v>9</v>
      </c>
      <c r="E38" t="s">
        <v>142</v>
      </c>
      <c r="F38" t="s">
        <v>143</v>
      </c>
    </row>
    <row r="39" spans="1:6" x14ac:dyDescent="0.25">
      <c r="A39" t="s">
        <v>141</v>
      </c>
      <c r="B39" t="s">
        <v>9</v>
      </c>
      <c r="C39" t="s">
        <v>51</v>
      </c>
      <c r="D39" t="s">
        <v>9</v>
      </c>
      <c r="E39" t="s">
        <v>142</v>
      </c>
      <c r="F39" t="s">
        <v>143</v>
      </c>
    </row>
    <row r="40" spans="1:6" x14ac:dyDescent="0.25">
      <c r="A40" t="s">
        <v>141</v>
      </c>
      <c r="B40" t="s">
        <v>9</v>
      </c>
      <c r="C40" t="s">
        <v>52</v>
      </c>
      <c r="D40" t="s">
        <v>9</v>
      </c>
      <c r="E40" t="s">
        <v>142</v>
      </c>
      <c r="F40" t="s">
        <v>143</v>
      </c>
    </row>
    <row r="41" spans="1:6" x14ac:dyDescent="0.25">
      <c r="A41" t="s">
        <v>141</v>
      </c>
      <c r="B41" t="s">
        <v>9</v>
      </c>
      <c r="C41" t="s">
        <v>53</v>
      </c>
      <c r="D41" t="s">
        <v>9</v>
      </c>
      <c r="E41" t="s">
        <v>142</v>
      </c>
      <c r="F41" t="s">
        <v>143</v>
      </c>
    </row>
    <row r="42" spans="1:6" x14ac:dyDescent="0.25">
      <c r="A42" t="s">
        <v>141</v>
      </c>
      <c r="B42" t="s">
        <v>9</v>
      </c>
      <c r="C42" t="s">
        <v>54</v>
      </c>
      <c r="D42" t="s">
        <v>9</v>
      </c>
      <c r="E42" t="s">
        <v>142</v>
      </c>
      <c r="F42" t="s">
        <v>143</v>
      </c>
    </row>
    <row r="43" spans="1:6" x14ac:dyDescent="0.25">
      <c r="A43" t="s">
        <v>141</v>
      </c>
      <c r="B43" t="s">
        <v>9</v>
      </c>
      <c r="C43" t="s">
        <v>55</v>
      </c>
      <c r="D43" t="s">
        <v>9</v>
      </c>
      <c r="E43" t="s">
        <v>142</v>
      </c>
      <c r="F43" t="s">
        <v>143</v>
      </c>
    </row>
    <row r="44" spans="1:6" x14ac:dyDescent="0.25">
      <c r="A44" t="s">
        <v>141</v>
      </c>
      <c r="B44" t="s">
        <v>9</v>
      </c>
      <c r="C44" t="s">
        <v>56</v>
      </c>
      <c r="D44" t="s">
        <v>9</v>
      </c>
      <c r="E44" t="s">
        <v>142</v>
      </c>
      <c r="F44" t="s">
        <v>143</v>
      </c>
    </row>
    <row r="45" spans="1:6" x14ac:dyDescent="0.25">
      <c r="A45" t="s">
        <v>141</v>
      </c>
      <c r="B45" t="s">
        <v>9</v>
      </c>
      <c r="C45" t="s">
        <v>57</v>
      </c>
      <c r="D45" t="s">
        <v>9</v>
      </c>
      <c r="E45" t="s">
        <v>142</v>
      </c>
      <c r="F45" t="s">
        <v>143</v>
      </c>
    </row>
    <row r="46" spans="1:6" x14ac:dyDescent="0.25">
      <c r="A46" t="s">
        <v>141</v>
      </c>
      <c r="B46" t="s">
        <v>9</v>
      </c>
      <c r="C46" t="s">
        <v>58</v>
      </c>
      <c r="D46" t="s">
        <v>9</v>
      </c>
      <c r="E46" t="s">
        <v>142</v>
      </c>
      <c r="F46" t="s">
        <v>143</v>
      </c>
    </row>
    <row r="47" spans="1:6" x14ac:dyDescent="0.25">
      <c r="A47" t="s">
        <v>141</v>
      </c>
      <c r="B47" t="s">
        <v>9</v>
      </c>
      <c r="C47" t="s">
        <v>59</v>
      </c>
      <c r="D47" t="s">
        <v>9</v>
      </c>
      <c r="E47" t="s">
        <v>142</v>
      </c>
      <c r="F47" t="s">
        <v>143</v>
      </c>
    </row>
    <row r="48" spans="1:6" x14ac:dyDescent="0.25">
      <c r="A48" t="s">
        <v>141</v>
      </c>
      <c r="B48" t="s">
        <v>9</v>
      </c>
      <c r="C48" t="s">
        <v>60</v>
      </c>
      <c r="D48" t="s">
        <v>9</v>
      </c>
      <c r="E48" t="s">
        <v>142</v>
      </c>
      <c r="F48" t="s">
        <v>143</v>
      </c>
    </row>
    <row r="49" spans="1:6" x14ac:dyDescent="0.25">
      <c r="A49" t="s">
        <v>141</v>
      </c>
      <c r="B49" t="s">
        <v>9</v>
      </c>
      <c r="C49" t="s">
        <v>61</v>
      </c>
      <c r="D49" t="s">
        <v>9</v>
      </c>
      <c r="E49" t="s">
        <v>142</v>
      </c>
      <c r="F49" t="s">
        <v>143</v>
      </c>
    </row>
    <row r="50" spans="1:6" x14ac:dyDescent="0.25">
      <c r="A50" t="s">
        <v>141</v>
      </c>
      <c r="B50" t="s">
        <v>9</v>
      </c>
      <c r="C50" t="s">
        <v>62</v>
      </c>
      <c r="D50" t="s">
        <v>9</v>
      </c>
      <c r="E50" t="s">
        <v>142</v>
      </c>
      <c r="F50" t="s">
        <v>143</v>
      </c>
    </row>
    <row r="51" spans="1:6" x14ac:dyDescent="0.25">
      <c r="A51" t="s">
        <v>141</v>
      </c>
      <c r="B51" t="s">
        <v>9</v>
      </c>
      <c r="C51" t="s">
        <v>63</v>
      </c>
      <c r="D51" t="s">
        <v>9</v>
      </c>
      <c r="E51" t="s">
        <v>142</v>
      </c>
      <c r="F51" t="s">
        <v>143</v>
      </c>
    </row>
    <row r="52" spans="1:6" x14ac:dyDescent="0.25">
      <c r="A52" t="s">
        <v>141</v>
      </c>
      <c r="B52" t="s">
        <v>9</v>
      </c>
      <c r="C52" t="s">
        <v>14</v>
      </c>
      <c r="D52" t="s">
        <v>9</v>
      </c>
      <c r="E52" t="s">
        <v>142</v>
      </c>
      <c r="F52" t="s">
        <v>145</v>
      </c>
    </row>
    <row r="53" spans="1:6" x14ac:dyDescent="0.25">
      <c r="A53" t="s">
        <v>141</v>
      </c>
      <c r="B53" t="s">
        <v>9</v>
      </c>
      <c r="C53" t="s">
        <v>15</v>
      </c>
      <c r="D53" t="s">
        <v>9</v>
      </c>
      <c r="E53" t="s">
        <v>142</v>
      </c>
      <c r="F53" t="s">
        <v>145</v>
      </c>
    </row>
    <row r="54" spans="1:6" x14ac:dyDescent="0.25">
      <c r="A54" t="s">
        <v>141</v>
      </c>
      <c r="B54" t="s">
        <v>9</v>
      </c>
      <c r="C54" t="s">
        <v>16</v>
      </c>
      <c r="D54" t="s">
        <v>9</v>
      </c>
      <c r="E54" t="s">
        <v>142</v>
      </c>
      <c r="F54" t="s">
        <v>145</v>
      </c>
    </row>
    <row r="55" spans="1:6" x14ac:dyDescent="0.25">
      <c r="A55" t="s">
        <v>141</v>
      </c>
      <c r="B55" t="s">
        <v>9</v>
      </c>
      <c r="C55" t="s">
        <v>17</v>
      </c>
      <c r="D55" t="s">
        <v>9</v>
      </c>
      <c r="E55" t="s">
        <v>142</v>
      </c>
      <c r="F55" t="s">
        <v>145</v>
      </c>
    </row>
    <row r="56" spans="1:6" x14ac:dyDescent="0.25">
      <c r="A56" t="s">
        <v>141</v>
      </c>
      <c r="B56" t="s">
        <v>9</v>
      </c>
      <c r="C56" t="s">
        <v>18</v>
      </c>
      <c r="D56" t="s">
        <v>9</v>
      </c>
      <c r="E56" t="s">
        <v>142</v>
      </c>
      <c r="F56" t="s">
        <v>145</v>
      </c>
    </row>
    <row r="57" spans="1:6" x14ac:dyDescent="0.25">
      <c r="A57" t="s">
        <v>141</v>
      </c>
      <c r="B57" t="s">
        <v>9</v>
      </c>
      <c r="C57" t="s">
        <v>19</v>
      </c>
      <c r="D57" t="s">
        <v>9</v>
      </c>
      <c r="E57" t="s">
        <v>142</v>
      </c>
      <c r="F57" t="s">
        <v>145</v>
      </c>
    </row>
    <row r="58" spans="1:6" x14ac:dyDescent="0.25">
      <c r="A58" t="s">
        <v>141</v>
      </c>
      <c r="B58" t="s">
        <v>9</v>
      </c>
      <c r="C58" t="s">
        <v>20</v>
      </c>
      <c r="D58" t="s">
        <v>9</v>
      </c>
      <c r="E58" t="s">
        <v>142</v>
      </c>
      <c r="F58" t="s">
        <v>145</v>
      </c>
    </row>
    <row r="59" spans="1:6" x14ac:dyDescent="0.25">
      <c r="A59" t="s">
        <v>141</v>
      </c>
      <c r="B59" t="s">
        <v>9</v>
      </c>
      <c r="C59" t="s">
        <v>21</v>
      </c>
      <c r="D59" t="s">
        <v>9</v>
      </c>
      <c r="E59" t="s">
        <v>142</v>
      </c>
      <c r="F59" t="s">
        <v>145</v>
      </c>
    </row>
    <row r="60" spans="1:6" x14ac:dyDescent="0.25">
      <c r="A60" t="s">
        <v>141</v>
      </c>
      <c r="B60" t="s">
        <v>9</v>
      </c>
      <c r="C60" t="s">
        <v>22</v>
      </c>
      <c r="D60" t="s">
        <v>9</v>
      </c>
      <c r="E60" t="s">
        <v>142</v>
      </c>
      <c r="F60" t="s">
        <v>145</v>
      </c>
    </row>
    <row r="61" spans="1:6" x14ac:dyDescent="0.25">
      <c r="A61" t="s">
        <v>141</v>
      </c>
      <c r="B61" t="s">
        <v>9</v>
      </c>
      <c r="C61" t="s">
        <v>23</v>
      </c>
      <c r="D61" t="s">
        <v>9</v>
      </c>
      <c r="E61" t="s">
        <v>142</v>
      </c>
      <c r="F61" t="s">
        <v>145</v>
      </c>
    </row>
    <row r="62" spans="1:6" x14ac:dyDescent="0.25">
      <c r="A62" t="s">
        <v>141</v>
      </c>
      <c r="B62" t="s">
        <v>9</v>
      </c>
      <c r="C62" t="s">
        <v>24</v>
      </c>
      <c r="D62" t="s">
        <v>9</v>
      </c>
      <c r="E62" t="s">
        <v>142</v>
      </c>
      <c r="F62" t="s">
        <v>145</v>
      </c>
    </row>
    <row r="63" spans="1:6" x14ac:dyDescent="0.25">
      <c r="A63" t="s">
        <v>141</v>
      </c>
      <c r="B63" t="s">
        <v>9</v>
      </c>
      <c r="C63" t="s">
        <v>25</v>
      </c>
      <c r="D63" t="s">
        <v>9</v>
      </c>
      <c r="E63" t="s">
        <v>142</v>
      </c>
      <c r="F63" t="s">
        <v>145</v>
      </c>
    </row>
    <row r="64" spans="1:6" x14ac:dyDescent="0.25">
      <c r="A64" t="s">
        <v>141</v>
      </c>
      <c r="B64" t="s">
        <v>9</v>
      </c>
      <c r="C64" t="s">
        <v>26</v>
      </c>
      <c r="D64" t="s">
        <v>9</v>
      </c>
      <c r="E64" t="s">
        <v>142</v>
      </c>
      <c r="F64" t="s">
        <v>145</v>
      </c>
    </row>
    <row r="65" spans="1:6" x14ac:dyDescent="0.25">
      <c r="A65" t="s">
        <v>141</v>
      </c>
      <c r="B65" t="s">
        <v>9</v>
      </c>
      <c r="C65" t="s">
        <v>27</v>
      </c>
      <c r="D65" t="s">
        <v>9</v>
      </c>
      <c r="E65" t="s">
        <v>142</v>
      </c>
      <c r="F65" t="s">
        <v>145</v>
      </c>
    </row>
    <row r="66" spans="1:6" x14ac:dyDescent="0.25">
      <c r="A66" t="s">
        <v>141</v>
      </c>
      <c r="B66" t="s">
        <v>9</v>
      </c>
      <c r="C66" t="s">
        <v>28</v>
      </c>
      <c r="D66" t="s">
        <v>9</v>
      </c>
      <c r="E66" t="s">
        <v>142</v>
      </c>
      <c r="F66" t="s">
        <v>145</v>
      </c>
    </row>
    <row r="67" spans="1:6" x14ac:dyDescent="0.25">
      <c r="A67" t="s">
        <v>141</v>
      </c>
      <c r="B67" t="s">
        <v>9</v>
      </c>
      <c r="C67" t="s">
        <v>29</v>
      </c>
      <c r="D67" t="s">
        <v>9</v>
      </c>
      <c r="E67" t="s">
        <v>142</v>
      </c>
      <c r="F67" t="s">
        <v>145</v>
      </c>
    </row>
    <row r="68" spans="1:6" x14ac:dyDescent="0.25">
      <c r="A68" t="s">
        <v>141</v>
      </c>
      <c r="B68" t="s">
        <v>9</v>
      </c>
      <c r="C68" t="s">
        <v>30</v>
      </c>
      <c r="D68" t="s">
        <v>9</v>
      </c>
      <c r="E68" t="s">
        <v>142</v>
      </c>
      <c r="F68" t="s">
        <v>145</v>
      </c>
    </row>
    <row r="69" spans="1:6" x14ac:dyDescent="0.25">
      <c r="A69" t="s">
        <v>141</v>
      </c>
      <c r="B69" t="s">
        <v>9</v>
      </c>
      <c r="C69" t="s">
        <v>31</v>
      </c>
      <c r="D69" t="s">
        <v>9</v>
      </c>
      <c r="E69" t="s">
        <v>142</v>
      </c>
      <c r="F69" t="s">
        <v>145</v>
      </c>
    </row>
    <row r="70" spans="1:6" x14ac:dyDescent="0.25">
      <c r="A70" t="s">
        <v>141</v>
      </c>
      <c r="B70" t="s">
        <v>9</v>
      </c>
      <c r="C70" t="s">
        <v>32</v>
      </c>
      <c r="D70" t="s">
        <v>9</v>
      </c>
      <c r="E70" t="s">
        <v>142</v>
      </c>
      <c r="F70" t="s">
        <v>145</v>
      </c>
    </row>
    <row r="71" spans="1:6" x14ac:dyDescent="0.25">
      <c r="A71" t="s">
        <v>141</v>
      </c>
      <c r="B71" t="s">
        <v>9</v>
      </c>
      <c r="C71" t="s">
        <v>33</v>
      </c>
      <c r="D71" t="s">
        <v>9</v>
      </c>
      <c r="E71" t="s">
        <v>142</v>
      </c>
      <c r="F71" t="s">
        <v>145</v>
      </c>
    </row>
    <row r="72" spans="1:6" x14ac:dyDescent="0.25">
      <c r="A72" t="s">
        <v>141</v>
      </c>
      <c r="B72" t="s">
        <v>9</v>
      </c>
      <c r="C72" t="s">
        <v>34</v>
      </c>
      <c r="D72" t="s">
        <v>9</v>
      </c>
      <c r="E72" t="s">
        <v>142</v>
      </c>
      <c r="F72" t="s">
        <v>145</v>
      </c>
    </row>
    <row r="73" spans="1:6" x14ac:dyDescent="0.25">
      <c r="A73" t="s">
        <v>141</v>
      </c>
      <c r="B73" t="s">
        <v>9</v>
      </c>
      <c r="C73" t="s">
        <v>35</v>
      </c>
      <c r="D73" t="s">
        <v>9</v>
      </c>
      <c r="E73" t="s">
        <v>142</v>
      </c>
      <c r="F73" t="s">
        <v>145</v>
      </c>
    </row>
    <row r="74" spans="1:6" x14ac:dyDescent="0.25">
      <c r="A74" t="s">
        <v>141</v>
      </c>
      <c r="B74" t="s">
        <v>9</v>
      </c>
      <c r="C74" t="s">
        <v>36</v>
      </c>
      <c r="D74" t="s">
        <v>9</v>
      </c>
      <c r="E74" t="s">
        <v>142</v>
      </c>
      <c r="F74" t="s">
        <v>145</v>
      </c>
    </row>
    <row r="75" spans="1:6" x14ac:dyDescent="0.25">
      <c r="A75" t="s">
        <v>141</v>
      </c>
      <c r="B75" t="s">
        <v>9</v>
      </c>
      <c r="C75" t="s">
        <v>37</v>
      </c>
      <c r="D75" t="s">
        <v>9</v>
      </c>
      <c r="E75" t="s">
        <v>142</v>
      </c>
      <c r="F75" t="s">
        <v>145</v>
      </c>
    </row>
    <row r="76" spans="1:6" x14ac:dyDescent="0.25">
      <c r="A76" t="s">
        <v>141</v>
      </c>
      <c r="B76" t="s">
        <v>9</v>
      </c>
      <c r="C76" t="s">
        <v>38</v>
      </c>
      <c r="D76" t="s">
        <v>9</v>
      </c>
      <c r="E76" t="s">
        <v>142</v>
      </c>
      <c r="F76" t="s">
        <v>145</v>
      </c>
    </row>
    <row r="77" spans="1:6" x14ac:dyDescent="0.25">
      <c r="A77" t="s">
        <v>141</v>
      </c>
      <c r="B77" t="s">
        <v>9</v>
      </c>
      <c r="C77" t="s">
        <v>39</v>
      </c>
      <c r="D77" t="s">
        <v>9</v>
      </c>
      <c r="E77" t="s">
        <v>142</v>
      </c>
      <c r="F77" t="s">
        <v>145</v>
      </c>
    </row>
    <row r="78" spans="1:6" x14ac:dyDescent="0.25">
      <c r="A78" t="s">
        <v>141</v>
      </c>
      <c r="B78" t="s">
        <v>9</v>
      </c>
      <c r="C78" t="s">
        <v>40</v>
      </c>
      <c r="D78" t="s">
        <v>9</v>
      </c>
      <c r="E78" t="s">
        <v>142</v>
      </c>
      <c r="F78" t="s">
        <v>145</v>
      </c>
    </row>
    <row r="79" spans="1:6" x14ac:dyDescent="0.25">
      <c r="A79" t="s">
        <v>141</v>
      </c>
      <c r="B79" t="s">
        <v>9</v>
      </c>
      <c r="C79" t="s">
        <v>41</v>
      </c>
      <c r="D79" t="s">
        <v>9</v>
      </c>
      <c r="E79" t="s">
        <v>142</v>
      </c>
      <c r="F79" t="s">
        <v>145</v>
      </c>
    </row>
    <row r="80" spans="1:6" x14ac:dyDescent="0.25">
      <c r="A80" t="s">
        <v>141</v>
      </c>
      <c r="B80" t="s">
        <v>9</v>
      </c>
      <c r="C80" t="s">
        <v>42</v>
      </c>
      <c r="D80" t="s">
        <v>9</v>
      </c>
      <c r="E80" t="s">
        <v>142</v>
      </c>
      <c r="F80" t="s">
        <v>145</v>
      </c>
    </row>
    <row r="81" spans="1:6" x14ac:dyDescent="0.25">
      <c r="A81" t="s">
        <v>141</v>
      </c>
      <c r="B81" t="s">
        <v>9</v>
      </c>
      <c r="C81" t="s">
        <v>43</v>
      </c>
      <c r="D81" t="s">
        <v>9</v>
      </c>
      <c r="E81" t="s">
        <v>142</v>
      </c>
      <c r="F81" t="s">
        <v>145</v>
      </c>
    </row>
    <row r="82" spans="1:6" x14ac:dyDescent="0.25">
      <c r="A82" t="s">
        <v>141</v>
      </c>
      <c r="B82" t="s">
        <v>9</v>
      </c>
      <c r="C82" t="s">
        <v>44</v>
      </c>
      <c r="D82" t="s">
        <v>9</v>
      </c>
      <c r="E82" t="s">
        <v>142</v>
      </c>
      <c r="F82" t="s">
        <v>145</v>
      </c>
    </row>
    <row r="83" spans="1:6" x14ac:dyDescent="0.25">
      <c r="A83" t="s">
        <v>141</v>
      </c>
      <c r="B83" t="s">
        <v>9</v>
      </c>
      <c r="C83" t="s">
        <v>45</v>
      </c>
      <c r="D83" t="s">
        <v>9</v>
      </c>
      <c r="E83" t="s">
        <v>142</v>
      </c>
      <c r="F83" t="s">
        <v>145</v>
      </c>
    </row>
    <row r="84" spans="1:6" x14ac:dyDescent="0.25">
      <c r="A84" t="s">
        <v>141</v>
      </c>
      <c r="B84" t="s">
        <v>9</v>
      </c>
      <c r="C84" t="s">
        <v>46</v>
      </c>
      <c r="D84" t="s">
        <v>9</v>
      </c>
      <c r="E84" t="s">
        <v>142</v>
      </c>
      <c r="F84" t="s">
        <v>145</v>
      </c>
    </row>
    <row r="85" spans="1:6" x14ac:dyDescent="0.25">
      <c r="A85" t="s">
        <v>141</v>
      </c>
      <c r="B85" t="s">
        <v>9</v>
      </c>
      <c r="C85" t="s">
        <v>47</v>
      </c>
      <c r="D85" t="s">
        <v>9</v>
      </c>
      <c r="E85" t="s">
        <v>142</v>
      </c>
      <c r="F85" t="s">
        <v>145</v>
      </c>
    </row>
    <row r="86" spans="1:6" x14ac:dyDescent="0.25">
      <c r="A86" t="s">
        <v>141</v>
      </c>
      <c r="B86" t="s">
        <v>9</v>
      </c>
      <c r="C86" t="s">
        <v>48</v>
      </c>
      <c r="D86" t="s">
        <v>9</v>
      </c>
      <c r="E86" t="s">
        <v>142</v>
      </c>
      <c r="F86" t="s">
        <v>145</v>
      </c>
    </row>
    <row r="87" spans="1:6" x14ac:dyDescent="0.25">
      <c r="A87" t="s">
        <v>141</v>
      </c>
      <c r="B87" t="s">
        <v>9</v>
      </c>
      <c r="C87" t="s">
        <v>49</v>
      </c>
      <c r="D87" t="s">
        <v>9</v>
      </c>
      <c r="E87" t="s">
        <v>142</v>
      </c>
      <c r="F87" t="s">
        <v>145</v>
      </c>
    </row>
    <row r="88" spans="1:6" x14ac:dyDescent="0.25">
      <c r="A88" t="s">
        <v>141</v>
      </c>
      <c r="B88" t="s">
        <v>9</v>
      </c>
      <c r="C88" t="s">
        <v>50</v>
      </c>
      <c r="D88" t="s">
        <v>9</v>
      </c>
      <c r="E88" t="s">
        <v>142</v>
      </c>
      <c r="F88" t="s">
        <v>145</v>
      </c>
    </row>
    <row r="89" spans="1:6" x14ac:dyDescent="0.25">
      <c r="A89" t="s">
        <v>141</v>
      </c>
      <c r="B89" t="s">
        <v>9</v>
      </c>
      <c r="C89" t="s">
        <v>51</v>
      </c>
      <c r="D89" t="s">
        <v>9</v>
      </c>
      <c r="E89" t="s">
        <v>142</v>
      </c>
      <c r="F89" t="s">
        <v>145</v>
      </c>
    </row>
    <row r="90" spans="1:6" x14ac:dyDescent="0.25">
      <c r="A90" t="s">
        <v>141</v>
      </c>
      <c r="B90" t="s">
        <v>9</v>
      </c>
      <c r="C90" t="s">
        <v>52</v>
      </c>
      <c r="D90" t="s">
        <v>9</v>
      </c>
      <c r="E90" t="s">
        <v>142</v>
      </c>
      <c r="F90" t="s">
        <v>145</v>
      </c>
    </row>
    <row r="91" spans="1:6" x14ac:dyDescent="0.25">
      <c r="A91" t="s">
        <v>141</v>
      </c>
      <c r="B91" t="s">
        <v>9</v>
      </c>
      <c r="C91" t="s">
        <v>53</v>
      </c>
      <c r="D91" t="s">
        <v>9</v>
      </c>
      <c r="E91" t="s">
        <v>142</v>
      </c>
      <c r="F91" t="s">
        <v>145</v>
      </c>
    </row>
    <row r="92" spans="1:6" x14ac:dyDescent="0.25">
      <c r="A92" t="s">
        <v>141</v>
      </c>
      <c r="B92" t="s">
        <v>9</v>
      </c>
      <c r="C92" t="s">
        <v>54</v>
      </c>
      <c r="D92" t="s">
        <v>9</v>
      </c>
      <c r="E92" t="s">
        <v>142</v>
      </c>
      <c r="F92" t="s">
        <v>145</v>
      </c>
    </row>
    <row r="93" spans="1:6" x14ac:dyDescent="0.25">
      <c r="A93" t="s">
        <v>141</v>
      </c>
      <c r="B93" t="s">
        <v>9</v>
      </c>
      <c r="C93" t="s">
        <v>55</v>
      </c>
      <c r="D93" t="s">
        <v>9</v>
      </c>
      <c r="E93" t="s">
        <v>142</v>
      </c>
      <c r="F93" t="s">
        <v>145</v>
      </c>
    </row>
    <row r="94" spans="1:6" x14ac:dyDescent="0.25">
      <c r="A94" t="s">
        <v>141</v>
      </c>
      <c r="B94" t="s">
        <v>9</v>
      </c>
      <c r="C94" t="s">
        <v>56</v>
      </c>
      <c r="D94" t="s">
        <v>9</v>
      </c>
      <c r="E94" t="s">
        <v>142</v>
      </c>
      <c r="F94" t="s">
        <v>145</v>
      </c>
    </row>
    <row r="95" spans="1:6" x14ac:dyDescent="0.25">
      <c r="A95" t="s">
        <v>141</v>
      </c>
      <c r="B95" t="s">
        <v>9</v>
      </c>
      <c r="C95" t="s">
        <v>57</v>
      </c>
      <c r="D95" t="s">
        <v>9</v>
      </c>
      <c r="E95" t="s">
        <v>142</v>
      </c>
      <c r="F95" t="s">
        <v>145</v>
      </c>
    </row>
    <row r="96" spans="1:6" x14ac:dyDescent="0.25">
      <c r="A96" t="s">
        <v>141</v>
      </c>
      <c r="B96" t="s">
        <v>9</v>
      </c>
      <c r="C96" t="s">
        <v>58</v>
      </c>
      <c r="D96" t="s">
        <v>9</v>
      </c>
      <c r="E96" t="s">
        <v>142</v>
      </c>
      <c r="F96" t="s">
        <v>145</v>
      </c>
    </row>
    <row r="97" spans="1:7" x14ac:dyDescent="0.25">
      <c r="A97" t="s">
        <v>141</v>
      </c>
      <c r="B97" t="s">
        <v>9</v>
      </c>
      <c r="C97" t="s">
        <v>59</v>
      </c>
      <c r="D97" t="s">
        <v>9</v>
      </c>
      <c r="E97" t="s">
        <v>142</v>
      </c>
      <c r="F97" t="s">
        <v>145</v>
      </c>
    </row>
    <row r="98" spans="1:7" x14ac:dyDescent="0.25">
      <c r="A98" t="s">
        <v>141</v>
      </c>
      <c r="B98" t="s">
        <v>9</v>
      </c>
      <c r="C98" t="s">
        <v>60</v>
      </c>
      <c r="D98" t="s">
        <v>9</v>
      </c>
      <c r="E98" t="s">
        <v>142</v>
      </c>
      <c r="F98" t="s">
        <v>145</v>
      </c>
    </row>
    <row r="99" spans="1:7" x14ac:dyDescent="0.25">
      <c r="A99" t="s">
        <v>141</v>
      </c>
      <c r="B99" t="s">
        <v>9</v>
      </c>
      <c r="C99" t="s">
        <v>61</v>
      </c>
      <c r="D99" t="s">
        <v>9</v>
      </c>
      <c r="E99" t="s">
        <v>142</v>
      </c>
      <c r="F99" t="s">
        <v>145</v>
      </c>
    </row>
    <row r="100" spans="1:7" x14ac:dyDescent="0.25">
      <c r="A100" t="s">
        <v>141</v>
      </c>
      <c r="B100" t="s">
        <v>9</v>
      </c>
      <c r="C100" t="s">
        <v>62</v>
      </c>
      <c r="D100" t="s">
        <v>9</v>
      </c>
      <c r="E100" t="s">
        <v>142</v>
      </c>
      <c r="F100" t="s">
        <v>145</v>
      </c>
    </row>
    <row r="101" spans="1:7" x14ac:dyDescent="0.25">
      <c r="A101" t="s">
        <v>141</v>
      </c>
      <c r="B101" t="s">
        <v>9</v>
      </c>
      <c r="C101" t="s">
        <v>63</v>
      </c>
      <c r="D101" t="s">
        <v>9</v>
      </c>
      <c r="E101" t="s">
        <v>142</v>
      </c>
      <c r="F101" t="s">
        <v>145</v>
      </c>
    </row>
    <row r="103" spans="1:7" x14ac:dyDescent="0.25">
      <c r="A103" t="s">
        <v>141</v>
      </c>
      <c r="B103" t="s">
        <v>9</v>
      </c>
      <c r="C103" t="s">
        <v>142</v>
      </c>
      <c r="D103" t="s">
        <v>9</v>
      </c>
      <c r="E103" t="s">
        <v>144</v>
      </c>
      <c r="F103" t="s">
        <v>143</v>
      </c>
      <c r="G103" t="s">
        <v>227</v>
      </c>
    </row>
    <row r="104" spans="1:7" x14ac:dyDescent="0.25">
      <c r="A104" t="s">
        <v>141</v>
      </c>
      <c r="B104" t="s">
        <v>9</v>
      </c>
      <c r="C104" t="s">
        <v>142</v>
      </c>
      <c r="D104" t="s">
        <v>9</v>
      </c>
      <c r="E104" t="s">
        <v>144</v>
      </c>
      <c r="F104" t="s">
        <v>145</v>
      </c>
      <c r="G104" t="s">
        <v>148</v>
      </c>
    </row>
    <row r="105" spans="1:7" x14ac:dyDescent="0.25">
      <c r="A105" t="s">
        <v>141</v>
      </c>
      <c r="B105" t="s">
        <v>9</v>
      </c>
      <c r="C105" t="s">
        <v>142</v>
      </c>
      <c r="D105" t="s">
        <v>9</v>
      </c>
      <c r="E105" t="s">
        <v>144</v>
      </c>
      <c r="F105" t="s">
        <v>184</v>
      </c>
      <c r="G105" t="s">
        <v>229</v>
      </c>
    </row>
    <row r="106" spans="1:7" x14ac:dyDescent="0.25">
      <c r="A106" t="s">
        <v>141</v>
      </c>
      <c r="B106" t="s">
        <v>9</v>
      </c>
      <c r="C106" t="s">
        <v>142</v>
      </c>
      <c r="D106" t="s">
        <v>9</v>
      </c>
      <c r="E106" t="s">
        <v>144</v>
      </c>
      <c r="F106" t="s">
        <v>184</v>
      </c>
      <c r="G106" t="s">
        <v>230</v>
      </c>
    </row>
    <row r="108" spans="1:7" x14ac:dyDescent="0.25">
      <c r="A108" t="s">
        <v>141</v>
      </c>
      <c r="B108" t="s">
        <v>9</v>
      </c>
      <c r="C108" t="s">
        <v>144</v>
      </c>
      <c r="D108" t="s">
        <v>9</v>
      </c>
      <c r="E108" t="s">
        <v>113</v>
      </c>
      <c r="F108" t="s">
        <v>143</v>
      </c>
      <c r="G108" t="s">
        <v>227</v>
      </c>
    </row>
    <row r="109" spans="1:7" x14ac:dyDescent="0.25">
      <c r="A109" t="s">
        <v>141</v>
      </c>
      <c r="B109" t="s">
        <v>9</v>
      </c>
      <c r="C109" t="s">
        <v>144</v>
      </c>
      <c r="D109" t="s">
        <v>9</v>
      </c>
      <c r="E109" t="s">
        <v>113</v>
      </c>
      <c r="F109" t="s">
        <v>184</v>
      </c>
      <c r="G109" t="s">
        <v>228</v>
      </c>
    </row>
    <row r="110" spans="1:7" x14ac:dyDescent="0.25">
      <c r="A110" t="s">
        <v>141</v>
      </c>
      <c r="B110" t="s">
        <v>9</v>
      </c>
      <c r="C110" t="s">
        <v>144</v>
      </c>
      <c r="D110" t="s">
        <v>9</v>
      </c>
      <c r="E110" t="s">
        <v>113</v>
      </c>
      <c r="F110" t="s">
        <v>184</v>
      </c>
      <c r="G110" t="s">
        <v>229</v>
      </c>
    </row>
    <row r="111" spans="1:7" x14ac:dyDescent="0.25">
      <c r="A111" t="s">
        <v>141</v>
      </c>
      <c r="B111" t="s">
        <v>9</v>
      </c>
      <c r="C111" t="s">
        <v>144</v>
      </c>
      <c r="D111" t="s">
        <v>9</v>
      </c>
      <c r="E111" t="s">
        <v>113</v>
      </c>
      <c r="F111" t="s">
        <v>184</v>
      </c>
      <c r="G111" t="s">
        <v>230</v>
      </c>
    </row>
    <row r="113" spans="1:7" x14ac:dyDescent="0.25">
      <c r="A113" t="s">
        <v>141</v>
      </c>
      <c r="B113" t="s">
        <v>9</v>
      </c>
      <c r="C113" t="s">
        <v>144</v>
      </c>
      <c r="D113" t="s">
        <v>9</v>
      </c>
      <c r="E113" t="s">
        <v>112</v>
      </c>
      <c r="F113" t="s">
        <v>145</v>
      </c>
      <c r="G113" t="s">
        <v>149</v>
      </c>
    </row>
    <row r="115" spans="1:7" x14ac:dyDescent="0.25">
      <c r="A115" t="s">
        <v>141</v>
      </c>
      <c r="B115" t="s">
        <v>9</v>
      </c>
      <c r="C115" t="s">
        <v>113</v>
      </c>
      <c r="D115" t="s">
        <v>9</v>
      </c>
      <c r="E115" t="s">
        <v>84</v>
      </c>
      <c r="F115" t="s">
        <v>184</v>
      </c>
      <c r="G115" t="s">
        <v>231</v>
      </c>
    </row>
    <row r="116" spans="1:7" x14ac:dyDescent="0.25">
      <c r="A116" t="s">
        <v>141</v>
      </c>
      <c r="B116" t="s">
        <v>9</v>
      </c>
      <c r="C116" t="s">
        <v>113</v>
      </c>
      <c r="D116" t="s">
        <v>9</v>
      </c>
      <c r="E116" t="s">
        <v>84</v>
      </c>
      <c r="F116" t="s">
        <v>184</v>
      </c>
      <c r="G116" t="s">
        <v>232</v>
      </c>
    </row>
    <row r="118" spans="1:7" x14ac:dyDescent="0.25">
      <c r="A118" t="s">
        <v>141</v>
      </c>
      <c r="B118" t="s">
        <v>9</v>
      </c>
      <c r="C118" t="s">
        <v>113</v>
      </c>
      <c r="D118" t="s">
        <v>9</v>
      </c>
      <c r="E118" t="s">
        <v>94</v>
      </c>
      <c r="F118" t="s">
        <v>184</v>
      </c>
    </row>
    <row r="120" spans="1:7" x14ac:dyDescent="0.25">
      <c r="A120" t="s">
        <v>141</v>
      </c>
      <c r="B120" t="s">
        <v>9</v>
      </c>
      <c r="C120" t="s">
        <v>112</v>
      </c>
      <c r="D120" t="s">
        <v>9</v>
      </c>
      <c r="E120" t="s">
        <v>117</v>
      </c>
      <c r="F120" t="s">
        <v>184</v>
      </c>
      <c r="G120" t="s">
        <v>231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17B88-7EC8-4CD8-8FAE-E91501933FF7}">
  <dimension ref="A1:C2"/>
  <sheetViews>
    <sheetView workbookViewId="0">
      <selection activeCell="K18" sqref="K18"/>
    </sheetView>
  </sheetViews>
  <sheetFormatPr defaultRowHeight="15" x14ac:dyDescent="0.25"/>
  <sheetData>
    <row r="1" spans="1:3" x14ac:dyDescent="0.25">
      <c r="A1" t="s">
        <v>8</v>
      </c>
      <c r="B1" t="s">
        <v>150</v>
      </c>
      <c r="C1" t="s">
        <v>151</v>
      </c>
    </row>
    <row r="2" spans="1:3" x14ac:dyDescent="0.25">
      <c r="A2" t="s">
        <v>152</v>
      </c>
      <c r="B2" t="s">
        <v>153</v>
      </c>
      <c r="C2">
        <v>50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14"/>
  <sheetViews>
    <sheetView workbookViewId="0">
      <selection activeCell="F10" sqref="F10"/>
    </sheetView>
  </sheetViews>
  <sheetFormatPr defaultRowHeight="15" x14ac:dyDescent="0.25"/>
  <cols>
    <col min="1" max="2" width="19.42578125" bestFit="1" customWidth="1"/>
  </cols>
  <sheetData>
    <row r="1" spans="1:2" x14ac:dyDescent="0.25">
      <c r="A1" s="1" t="s">
        <v>100</v>
      </c>
      <c r="B1" s="1" t="s">
        <v>101</v>
      </c>
    </row>
    <row r="2" spans="1:2" x14ac:dyDescent="0.25">
      <c r="A2" t="s">
        <v>102</v>
      </c>
      <c r="B2" t="s">
        <v>102</v>
      </c>
    </row>
    <row r="3" spans="1:2" x14ac:dyDescent="0.25">
      <c r="A3" t="s">
        <v>103</v>
      </c>
      <c r="B3" t="s">
        <v>103</v>
      </c>
    </row>
    <row r="4" spans="1:2" x14ac:dyDescent="0.25">
      <c r="A4" t="s">
        <v>104</v>
      </c>
      <c r="B4" t="s">
        <v>104</v>
      </c>
    </row>
    <row r="5" spans="1:2" x14ac:dyDescent="0.25">
      <c r="A5" t="s">
        <v>105</v>
      </c>
      <c r="B5" t="s">
        <v>105</v>
      </c>
    </row>
    <row r="6" spans="1:2" x14ac:dyDescent="0.25">
      <c r="A6" t="s">
        <v>106</v>
      </c>
      <c r="B6" t="s">
        <v>106</v>
      </c>
    </row>
    <row r="7" spans="1:2" x14ac:dyDescent="0.25">
      <c r="A7" t="s">
        <v>107</v>
      </c>
      <c r="B7" t="s">
        <v>107</v>
      </c>
    </row>
    <row r="8" spans="1:2" x14ac:dyDescent="0.25">
      <c r="A8" t="s">
        <v>246</v>
      </c>
      <c r="B8" t="s">
        <v>246</v>
      </c>
    </row>
    <row r="9" spans="1:2" x14ac:dyDescent="0.25">
      <c r="A9" t="s">
        <v>108</v>
      </c>
      <c r="B9" t="s">
        <v>108</v>
      </c>
    </row>
    <row r="10" spans="1:2" x14ac:dyDescent="0.25">
      <c r="A10" t="s">
        <v>90</v>
      </c>
      <c r="B10" t="s">
        <v>90</v>
      </c>
    </row>
    <row r="11" spans="1:2" x14ac:dyDescent="0.25">
      <c r="A11" t="s">
        <v>109</v>
      </c>
      <c r="B11" t="s">
        <v>109</v>
      </c>
    </row>
    <row r="12" spans="1:2" x14ac:dyDescent="0.25">
      <c r="A12" t="s">
        <v>110</v>
      </c>
      <c r="B12" t="s">
        <v>110</v>
      </c>
    </row>
    <row r="13" spans="1:2" x14ac:dyDescent="0.25">
      <c r="A13" t="s">
        <v>146</v>
      </c>
      <c r="B13" t="s">
        <v>147</v>
      </c>
    </row>
    <row r="14" spans="1:2" x14ac:dyDescent="0.25">
      <c r="A14" t="s">
        <v>154</v>
      </c>
      <c r="B14" t="s">
        <v>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Global Simulation Parameters</vt:lpstr>
      <vt:lpstr>Facilities</vt:lpstr>
      <vt:lpstr>Wells</vt:lpstr>
      <vt:lpstr>TwoPhaseSeparators</vt:lpstr>
      <vt:lpstr>ThreePhaseSeparators</vt:lpstr>
      <vt:lpstr>Dehydrators</vt:lpstr>
      <vt:lpstr>Misc</vt:lpstr>
      <vt:lpstr>Compressors</vt:lpstr>
      <vt:lpstr>Flares</vt:lpstr>
      <vt:lpstr>Tank Battery</vt:lpstr>
      <vt:lpstr>Station</vt:lpstr>
      <vt:lpstr>VRUs</vt:lpstr>
      <vt:lpstr>Links</vt:lpstr>
      <vt:lpstr>FFLinks</vt:lpstr>
      <vt:lpstr>Debug</vt:lpstr>
      <vt:lpstr>Master Equipment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PRAJAY</cp:lastModifiedBy>
  <dcterms:created xsi:type="dcterms:W3CDTF">2021-02-18T15:05:05Z</dcterms:created>
  <dcterms:modified xsi:type="dcterms:W3CDTF">2022-10-31T01:04:06Z</dcterms:modified>
</cp:coreProperties>
</file>