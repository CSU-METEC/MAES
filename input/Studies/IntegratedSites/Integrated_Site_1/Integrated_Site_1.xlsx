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death\METEC_MEET\MEET_2.0_0007_P\input\Studies\IntegratedSites\Integrated_Site_1\"/>
    </mc:Choice>
  </mc:AlternateContent>
  <xr:revisionPtr revIDLastSave="0" documentId="13_ncr:1_{29633952-45AF-420A-9FE1-8DA4DC0C87F7}" xr6:coauthVersionLast="47" xr6:coauthVersionMax="47" xr10:uidLastSave="{00000000-0000-0000-0000-000000000000}"/>
  <bookViews>
    <workbookView xWindow="-120" yWindow="-120" windowWidth="29040" windowHeight="15840" tabRatio="846" xr2:uid="{00000000-000D-0000-FFFF-FFFF00000000}"/>
  </bookViews>
  <sheets>
    <sheet name="Global Simulation Parameters" sheetId="1" r:id="rId1"/>
    <sheet name="Facilities" sheetId="2" r:id="rId2"/>
    <sheet name="Wells" sheetId="3" r:id="rId3"/>
    <sheet name="Separators" sheetId="5" r:id="rId4"/>
    <sheet name="Dehydrators" sheetId="6" r:id="rId5"/>
    <sheet name="Misc" sheetId="8" r:id="rId6"/>
    <sheet name="VRUs" sheetId="12" r:id="rId7"/>
    <sheet name="Compressors" sheetId="7" r:id="rId8"/>
    <sheet name="Flares" sheetId="9" r:id="rId9"/>
    <sheet name="Tank Battery" sheetId="11" r:id="rId10"/>
    <sheet name="Common Headers" sheetId="18" r:id="rId11"/>
    <sheet name="Probes" sheetId="19" r:id="rId12"/>
    <sheet name="Links" sheetId="13" r:id="rId13"/>
    <sheet name="FFLinks" sheetId="16" r:id="rId14"/>
    <sheet name="Debug" sheetId="17" r:id="rId15"/>
    <sheet name="Master Equipment" sheetId="14" r:id="rId16"/>
  </sheets>
  <definedNames>
    <definedName name="_xlnm._FilterDatabase" localSheetId="13" hidden="1">FFLinks!$A$1:$G$19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G9" i="3"/>
  <c r="G8" i="3"/>
  <c r="G7" i="3"/>
  <c r="G6" i="3"/>
  <c r="G5" i="3"/>
  <c r="G4" i="3"/>
  <c r="G3" i="3"/>
  <c r="G2" i="3"/>
  <c r="O3" i="12" l="1"/>
  <c r="P3" i="12"/>
  <c r="T3" i="12"/>
  <c r="U3" i="12"/>
  <c r="U2" i="12"/>
  <c r="T2" i="12"/>
  <c r="P2" i="12"/>
  <c r="O2" i="12"/>
  <c r="O3" i="7"/>
  <c r="P3" i="7"/>
  <c r="V3" i="7"/>
  <c r="W3" i="7"/>
  <c r="O4" i="7"/>
  <c r="P4" i="7"/>
  <c r="V4" i="7"/>
  <c r="W4" i="7"/>
  <c r="O2" i="7"/>
  <c r="P2" i="7"/>
  <c r="V2" i="7"/>
  <c r="W2" i="7"/>
  <c r="F3" i="3" l="1"/>
  <c r="F4" i="3"/>
  <c r="F5" i="3"/>
  <c r="F6" i="3"/>
  <c r="F7" i="3"/>
  <c r="F8" i="3"/>
  <c r="F9" i="3"/>
  <c r="F10" i="3"/>
  <c r="F2" i="3"/>
  <c r="E3" i="3"/>
  <c r="E4" i="3"/>
  <c r="E5" i="3"/>
  <c r="E6" i="3"/>
  <c r="E7" i="3"/>
  <c r="E8" i="3"/>
  <c r="E9" i="3"/>
  <c r="E10" i="3"/>
  <c r="E2" i="3"/>
</calcChain>
</file>

<file path=xl/sharedStrings.xml><?xml version="1.0" encoding="utf-8"?>
<sst xmlns="http://schemas.openxmlformats.org/spreadsheetml/2006/main" count="817" uniqueCount="238">
  <si>
    <t>Simulation Start Date</t>
  </si>
  <si>
    <t>1/1/2021</t>
  </si>
  <si>
    <t>Simulation Duration [Days]</t>
  </si>
  <si>
    <t>Number of Monte Carlo Iterations</t>
  </si>
  <si>
    <t>Output Directory Template</t>
  </si>
  <si>
    <t>Facility ID</t>
  </si>
  <si>
    <t>Latitude</t>
  </si>
  <si>
    <t>Longitude</t>
  </si>
  <si>
    <t>Model ID</t>
  </si>
  <si>
    <t>Unit ID</t>
  </si>
  <si>
    <t>Component Count</t>
  </si>
  <si>
    <t>Component pLeak</t>
  </si>
  <si>
    <t>well_1</t>
  </si>
  <si>
    <t>Well</t>
  </si>
  <si>
    <t>well_2</t>
  </si>
  <si>
    <t>well_3</t>
  </si>
  <si>
    <t>well_4</t>
  </si>
  <si>
    <t>well_5</t>
  </si>
  <si>
    <t>well_6</t>
  </si>
  <si>
    <t>well_7</t>
  </si>
  <si>
    <t>well_8</t>
  </si>
  <si>
    <t>well_9</t>
  </si>
  <si>
    <t>Fluid</t>
  </si>
  <si>
    <t>dehy_1</t>
  </si>
  <si>
    <t>dehy_2</t>
  </si>
  <si>
    <t>dehy_3</t>
  </si>
  <si>
    <t>Average Loading</t>
  </si>
  <si>
    <t>Std Loading</t>
  </si>
  <si>
    <t>Operating Fraction</t>
  </si>
  <si>
    <t>NOP Fraction of NOP/NOD</t>
  </si>
  <si>
    <t>Blowdown Vent pLeak</t>
  </si>
  <si>
    <t>Common Single-Unit Vent pLeak</t>
  </si>
  <si>
    <t>Compressor Starter Vent pLeak</t>
  </si>
  <si>
    <t>comp_1</t>
  </si>
  <si>
    <t>Turbine</t>
  </si>
  <si>
    <t>Centrifugal</t>
  </si>
  <si>
    <t>comp_2</t>
  </si>
  <si>
    <t>comp_3</t>
  </si>
  <si>
    <t>pMalfunction</t>
  </si>
  <si>
    <t>pUnlit</t>
  </si>
  <si>
    <t>flare_1</t>
  </si>
  <si>
    <t>Tank Thief Hatch pLeak</t>
  </si>
  <si>
    <t>Tank Battery Vent pLeak</t>
  </si>
  <si>
    <t>Tank Battery</t>
  </si>
  <si>
    <t>Water Tank</t>
  </si>
  <si>
    <t>ME1 Facility</t>
  </si>
  <si>
    <t>ME1 Unit</t>
  </si>
  <si>
    <t>ME2 Facility</t>
  </si>
  <si>
    <t>ME2 Unit</t>
  </si>
  <si>
    <t>Readable Name</t>
  </si>
  <si>
    <t>Tab</t>
  </si>
  <si>
    <t>Facilities</t>
  </si>
  <si>
    <t>Wells</t>
  </si>
  <si>
    <t>Dehydrators</t>
  </si>
  <si>
    <t>Compressors</t>
  </si>
  <si>
    <t>Links</t>
  </si>
  <si>
    <t>Gas</t>
  </si>
  <si>
    <t>Air</t>
  </si>
  <si>
    <t>flare_2</t>
  </si>
  <si>
    <t>facility_1</t>
  </si>
  <si>
    <t>Dry</t>
  </si>
  <si>
    <t>Wet</t>
  </si>
  <si>
    <t>Seal Vent pLeak</t>
  </si>
  <si>
    <t>Seal Vent(Large Emitter) pLeak</t>
  </si>
  <si>
    <t>Common Single-unit Vent(Large Emitter) pLeak</t>
  </si>
  <si>
    <t>fac1_wp1</t>
  </si>
  <si>
    <t>fac1_flare</t>
  </si>
  <si>
    <t>yardpiping_main</t>
  </si>
  <si>
    <t>yardpiping_wp1</t>
  </si>
  <si>
    <t>yardpiping_flare</t>
  </si>
  <si>
    <t>Facility.json</t>
  </si>
  <si>
    <t>ContinuousSeparator.json</t>
  </si>
  <si>
    <t>Dehydrator.json</t>
  </si>
  <si>
    <t>Compressor.json</t>
  </si>
  <si>
    <t>Flare.json</t>
  </si>
  <si>
    <t>Debug</t>
  </si>
  <si>
    <t>Outlet FacilityID</t>
  </si>
  <si>
    <t>Outlet UnitID</t>
  </si>
  <si>
    <t>Inlet FacilityID</t>
  </si>
  <si>
    <t>Inlet UnitID</t>
  </si>
  <si>
    <t>Flow Name</t>
  </si>
  <si>
    <t>Flow SecondaryID</t>
  </si>
  <si>
    <t>sep_stage1_1</t>
  </si>
  <si>
    <t>Condensate</t>
  </si>
  <si>
    <t>FFLink.json</t>
  </si>
  <si>
    <t>Separators</t>
  </si>
  <si>
    <t>DumpID</t>
  </si>
  <si>
    <t>Dump Time</t>
  </si>
  <si>
    <t>FFDump50</t>
  </si>
  <si>
    <t>FFDumpService.json</t>
  </si>
  <si>
    <t>Flow Tag</t>
  </si>
  <si>
    <t>Flow GC Tag</t>
  </si>
  <si>
    <t>Stage1</t>
  </si>
  <si>
    <t>Stage2</t>
  </si>
  <si>
    <t>sep_stage2_1</t>
  </si>
  <si>
    <t>Water</t>
  </si>
  <si>
    <t>Primary Water Takeoff Ratio</t>
  </si>
  <si>
    <t>primary_water</t>
  </si>
  <si>
    <t>tank_battery_water</t>
  </si>
  <si>
    <t>CommonHeader.json</t>
  </si>
  <si>
    <t>Common Headers</t>
  </si>
  <si>
    <t>common_header_1</t>
  </si>
  <si>
    <t>common_header_2</t>
  </si>
  <si>
    <t>VRT1</t>
  </si>
  <si>
    <t>Stage3</t>
  </si>
  <si>
    <t>process_compressor</t>
  </si>
  <si>
    <t>water_flash_tank_VRU</t>
  </si>
  <si>
    <t>flare_flow</t>
  </si>
  <si>
    <t>Component Leak Survey Frequency [days]</t>
  </si>
  <si>
    <t>TankBattery.json</t>
  </si>
  <si>
    <t>Oil Production [bbl/d]</t>
  </si>
  <si>
    <t>Water Production [bbl/d]</t>
  </si>
  <si>
    <t>Gas Production [Mscf/d]</t>
  </si>
  <si>
    <t>Starter Type [Gas, Electric, Air]</t>
  </si>
  <si>
    <t>Blowdown Vent MTTRMin [days]</t>
  </si>
  <si>
    <t>Blowdown Vent MTTRMax [days]</t>
  </si>
  <si>
    <t>Common Single-Unit Vent MTTR Min [days]</t>
  </si>
  <si>
    <t>Common Single-Unit Vent MTTR Max [days]</t>
  </si>
  <si>
    <t>Seal Vent MTTR Min [days]</t>
  </si>
  <si>
    <t>Seal Vent MTTR Max [days]</t>
  </si>
  <si>
    <t>Seal Vent(Large Emitter) MTTR Min [days]</t>
  </si>
  <si>
    <t>Seal Vent(Large Emitter) MTTR Max [days]</t>
  </si>
  <si>
    <t>Compressor Starter Vent MTTR Min [days]</t>
  </si>
  <si>
    <t>Compressor Starter Vent MTTR Max [days]</t>
  </si>
  <si>
    <t>Common Single-unit Vent(Large Emitter) MTTR Min [days]</t>
  </si>
  <si>
    <t>Common Single-unit Vent(Large Emitter) MTTR Max [days]</t>
  </si>
  <si>
    <t>Malfunction Duration min [days]</t>
  </si>
  <si>
    <t>Malfunction Duration max [days]</t>
  </si>
  <si>
    <t>Unlit Duration min [days]</t>
  </si>
  <si>
    <t>Unlit Duration max [days]</t>
  </si>
  <si>
    <t>Operating Duration min [days]</t>
  </si>
  <si>
    <t>Operating Duration max [days]</t>
  </si>
  <si>
    <t>Tank Thief Hatch MTTR min [days]</t>
  </si>
  <si>
    <t>Tank Thief Hatch MTTR max [days]</t>
  </si>
  <si>
    <t>Tank Battery Vent MTTR min [days]</t>
  </si>
  <si>
    <t>Tank Battery Vent MTTR max [days]</t>
  </si>
  <si>
    <t>Actuator Type [Gas, Electric, Air]</t>
  </si>
  <si>
    <t>Electric</t>
  </si>
  <si>
    <t>Driver Type [Turbine, 4SLB, 2SLB, 4SRB, Electric]</t>
  </si>
  <si>
    <t>4SLB</t>
  </si>
  <si>
    <t>4SRB</t>
  </si>
  <si>
    <t>Seal Type [Dry, Wet, Rod Packing]</t>
  </si>
  <si>
    <t>Compressor Type [Centrifugal, Reciprocating, Other]</t>
  </si>
  <si>
    <t>Rod Packing</t>
  </si>
  <si>
    <t>Reciprocating</t>
  </si>
  <si>
    <t>Flow Gas Composition</t>
  </si>
  <si>
    <t>Combustion GC Name</t>
  </si>
  <si>
    <t>FFLinks</t>
  </si>
  <si>
    <t>VRUs</t>
  </si>
  <si>
    <t>Flares</t>
  </si>
  <si>
    <t>dehy_still_vent</t>
  </si>
  <si>
    <t>Vapor</t>
  </si>
  <si>
    <t>Blowdown Event Duration [s]</t>
  </si>
  <si>
    <t>Blowdown Event Emission Volume [SCF]</t>
  </si>
  <si>
    <t>Starter Event Emission Duration [s]</t>
  </si>
  <si>
    <t>Starter Event Emission Volume [SCF]</t>
  </si>
  <si>
    <t>Blowdown Vent Component Count</t>
  </si>
  <si>
    <t>Common Single-Unit Vent Component Count</t>
  </si>
  <si>
    <t>Seal Vent Component Count</t>
  </si>
  <si>
    <t>Seal Vent(Large Emitter) Component Count</t>
  </si>
  <si>
    <t>Compressor Starter Vent Component Count</t>
  </si>
  <si>
    <t>Common Single-unit Vent(Large Emitter) Component Count</t>
  </si>
  <si>
    <t>FixedSource.json</t>
  </si>
  <si>
    <t>Malfunction Destruction Efficiency</t>
  </si>
  <si>
    <t>Unlit Destruction Efficiency</t>
  </si>
  <si>
    <t>Operating Destruction Efficiency</t>
  </si>
  <si>
    <t>Factor Tag</t>
  </si>
  <si>
    <t>Activity / Emission Factor Name</t>
  </si>
  <si>
    <t>Number of Thief Hatches</t>
  </si>
  <si>
    <t>Number of Vents</t>
  </si>
  <si>
    <t>Stuck Dump Valve Component Count</t>
  </si>
  <si>
    <t>Stuck Dump Valve pLeak</t>
  </si>
  <si>
    <t>Stuck Dump Valve Failure Duration Min [days]</t>
  </si>
  <si>
    <t>Stuck Dump Valve Failure Duration Max [days]</t>
  </si>
  <si>
    <t>Fraction of Flash Released</t>
  </si>
  <si>
    <t>Overpressure Vents Large Emitter MTTR min [days]</t>
  </si>
  <si>
    <t>Overpressure Vents Large Emitter MTTR max [days]</t>
  </si>
  <si>
    <t>Overpressure Vents Large Emitter pLeak</t>
  </si>
  <si>
    <t>input/Studies/IntegratedSites/Integrated_Site_1/CompositionsSite1.csv</t>
  </si>
  <si>
    <t>FlashFractions/FlashFractionsTest.csv</t>
  </si>
  <si>
    <t>Probes</t>
  </si>
  <si>
    <t>Probe.json</t>
  </si>
  <si>
    <t>produced_gas</t>
  </si>
  <si>
    <t>exported_gas</t>
  </si>
  <si>
    <t>Inlet Flow At Max Primary Flow [scfh]</t>
  </si>
  <si>
    <t>Max Primary Outlet Flow [scfh]</t>
  </si>
  <si>
    <t>Overpressure Vents Large Emitter Threshold [scfh]</t>
  </si>
  <si>
    <t>sep_stage_1_1_production</t>
  </si>
  <si>
    <t>sep_stage2_1_production</t>
  </si>
  <si>
    <t>process_compressor_production</t>
  </si>
  <si>
    <t>water_flash_tank_VRU_production</t>
  </si>
  <si>
    <t>common_header_3</t>
  </si>
  <si>
    <t>condensate_flow</t>
  </si>
  <si>
    <t>stuck_dump_valve_vapor</t>
  </si>
  <si>
    <t>water_flash</t>
  </si>
  <si>
    <t>condensate_flash</t>
  </si>
  <si>
    <t>Battery Type [Condensate Tank, Water Tank]</t>
  </si>
  <si>
    <t>Fluid [Water, Condensate]</t>
  </si>
  <si>
    <t>Single Unit Vents [TRUE, FALSE]</t>
  </si>
  <si>
    <t>Default-LeakGc</t>
  </si>
  <si>
    <t>MiscWellpad.json</t>
  </si>
  <si>
    <t>Common Facility Vent Component Count</t>
  </si>
  <si>
    <t>Common Facility Vent MTTR Min [days]</t>
  </si>
  <si>
    <t>Common Facility Vent MTTR Max [days]</t>
  </si>
  <si>
    <t>Common Facility Vent pLeak</t>
  </si>
  <si>
    <t>Facility Components (Large Emitter) MTTR Min [days]</t>
  </si>
  <si>
    <t>Facility Components (Large Emitter) MTTR Max [days]</t>
  </si>
  <si>
    <t>Facility Components Large Emitter [TRUE/FALSE]</t>
  </si>
  <si>
    <t>Facility Common Vent [TRUE/FALSE]</t>
  </si>
  <si>
    <t>Facility Components (Large Emitter) pLeak</t>
  </si>
  <si>
    <t>Facility Vent (Large Emitter) MTTR Min [days]</t>
  </si>
  <si>
    <t>Facility Vent (Large Emitter) MTTR Max [days]</t>
  </si>
  <si>
    <t>Facility Vent (Large Emitter) pLeak</t>
  </si>
  <si>
    <t>Misc</t>
  </si>
  <si>
    <t>Total Duration Lower Limit [Hours]</t>
  </si>
  <si>
    <t>Total Duration Upper Limit [Hours]</t>
  </si>
  <si>
    <t>Compressor Power [kW]</t>
  </si>
  <si>
    <t>Engine Efficiency</t>
  </si>
  <si>
    <t>Exhaust Factors</t>
  </si>
  <si>
    <t>DestEff</t>
  </si>
  <si>
    <t>Leak GC Name</t>
  </si>
  <si>
    <t>wellpad</t>
  </si>
  <si>
    <t>Well-Condensate.Stage1-Flash</t>
  </si>
  <si>
    <t>Well-Condensate.Stage1-Condensate.Stage2-Flash</t>
  </si>
  <si>
    <t>Well-Condensate.Stage1-Condensate.Stage2-Condensate.Stage3-Flash</t>
  </si>
  <si>
    <t>gas_sales</t>
  </si>
  <si>
    <t>condensate_gas_sales</t>
  </si>
  <si>
    <t>tank_flash</t>
  </si>
  <si>
    <t>Well-Water.Stage1-Water.Stage2-Water.Tank-Flash</t>
  </si>
  <si>
    <t>DestEffAll4LSB</t>
  </si>
  <si>
    <t>DestEffAll4RSB</t>
  </si>
  <si>
    <t>gef_sep</t>
  </si>
  <si>
    <t>gef_dehy</t>
  </si>
  <si>
    <t>gef_misc</t>
  </si>
  <si>
    <t>gef_comp</t>
  </si>
  <si>
    <t>gef_flare</t>
  </si>
  <si>
    <t>gef_tank</t>
  </si>
  <si>
    <t>Leak Gas 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</si>
</sst>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7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0" fillId="2" borderId="0" xfId="0" applyFill="1" applyAlignment="1">
      <alignment horizontal="center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4" borderId="1" xfId="0" applyFont="1" applyFill="1" applyBorder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6" borderId="0" xfId="0" applyFill="1"/>
    <xf numFmtId="0" fontId="0" fillId="11" borderId="0" xfId="0" applyFill="1"/>
    <xf numFmtId="0" fontId="0" fillId="12" borderId="0" xfId="0" applyFill="1"/>
    <xf numFmtId="0" fontId="1" fillId="6" borderId="1" xfId="0" applyFont="1" applyFill="1" applyBorder="1" applyAlignment="1">
      <alignment horizontal="center" vertical="center" wrapText="1"/>
    </xf>
    <xf numFmtId="0" fontId="0" fillId="13" borderId="0" xfId="0" applyFill="1"/>
    <xf numFmtId="0" fontId="1" fillId="13" borderId="1" xfId="0" applyFont="1" applyFill="1" applyBorder="1" applyAlignment="1">
      <alignment horizontal="center" vertical="center" wrapText="1"/>
    </xf>
    <xf numFmtId="0" fontId="0" fillId="14" borderId="0" xfId="0" applyFill="1"/>
    <xf numFmtId="0" fontId="1" fillId="1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6" fillId="6" borderId="0" xfId="0" applyFont="1" applyFill="1"/>
    <xf numFmtId="0" fontId="5" fillId="10" borderId="1" xfId="1" applyFont="1" applyFill="1" applyBorder="1" applyAlignment="1">
      <alignment horizontal="center" vertical="center" wrapText="1"/>
    </xf>
    <xf numFmtId="0" fontId="6" fillId="10" borderId="0" xfId="1" applyFont="1" applyFill="1"/>
    <xf numFmtId="0" fontId="5" fillId="9" borderId="1" xfId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6" fillId="9" borderId="0" xfId="1" applyFont="1" applyFill="1"/>
    <xf numFmtId="0" fontId="1" fillId="12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0" fillId="15" borderId="0" xfId="0" applyFill="1"/>
    <xf numFmtId="0" fontId="2" fillId="15" borderId="1" xfId="0" applyFont="1" applyFill="1" applyBorder="1" applyAlignment="1">
      <alignment horizontal="center" vertical="center" wrapText="1"/>
    </xf>
    <xf numFmtId="0" fontId="0" fillId="15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0" fillId="17" borderId="0" xfId="0" applyFill="1"/>
    <xf numFmtId="0" fontId="0" fillId="18" borderId="0" xfId="0" applyFill="1"/>
    <xf numFmtId="0" fontId="2" fillId="17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0" fillId="14" borderId="0" xfId="0" applyFill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2" fillId="18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0" borderId="0" xfId="0" applyFont="1"/>
    <xf numFmtId="1" fontId="0" fillId="15" borderId="0" xfId="0" applyNumberFormat="1" applyFill="1"/>
    <xf numFmtId="0" fontId="2" fillId="0" borderId="1" xfId="0" applyFont="1" applyBorder="1" applyAlignment="1">
      <alignment wrapText="1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5" x14ac:dyDescent="0.25"/>
  <cols>
    <col min="1" max="1" width="31.5703125" bestFit="1" customWidth="1"/>
    <col min="2" max="2" width="66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</row>
    <row r="5" spans="1:2" x14ac:dyDescent="0.25">
      <c r="A5" t="s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D1" sqref="D1"/>
    </sheetView>
  </sheetViews>
  <sheetFormatPr defaultRowHeight="15" x14ac:dyDescent="0.25"/>
  <cols>
    <col min="1" max="1" width="9.7109375" bestFit="1" customWidth="1"/>
    <col min="2" max="3" width="10.140625" customWidth="1"/>
    <col min="4" max="4" width="66.7109375" bestFit="1" customWidth="1"/>
    <col min="5" max="5" width="20" bestFit="1" customWidth="1"/>
  </cols>
  <sheetData>
    <row r="1" spans="1:5" s="2" customFormat="1" x14ac:dyDescent="0.25">
      <c r="A1" s="3" t="s">
        <v>5</v>
      </c>
      <c r="B1" s="3" t="s">
        <v>6</v>
      </c>
      <c r="C1" s="3" t="s">
        <v>7</v>
      </c>
      <c r="D1" s="3" t="s">
        <v>237</v>
      </c>
      <c r="E1" s="3" t="s">
        <v>8</v>
      </c>
    </row>
    <row r="2" spans="1:5" x14ac:dyDescent="0.25">
      <c r="A2" t="s">
        <v>59</v>
      </c>
      <c r="B2" s="7">
        <v>1.8441095238132664E-3</v>
      </c>
      <c r="C2" s="7">
        <v>6.1834761904763069E-3</v>
      </c>
      <c r="D2" t="s">
        <v>178</v>
      </c>
      <c r="E2" t="s">
        <v>70</v>
      </c>
    </row>
    <row r="3" spans="1:5" x14ac:dyDescent="0.25">
      <c r="A3" t="s">
        <v>65</v>
      </c>
      <c r="B3" s="7">
        <v>8.1003333333898005E-4</v>
      </c>
      <c r="C3" s="7">
        <v>3.4731777777778916E-3</v>
      </c>
      <c r="D3" t="s">
        <v>178</v>
      </c>
      <c r="E3" t="s">
        <v>70</v>
      </c>
    </row>
    <row r="4" spans="1:5" x14ac:dyDescent="0.25">
      <c r="A4" t="s">
        <v>66</v>
      </c>
      <c r="B4" s="7">
        <v>4.1826500000041733E-3</v>
      </c>
      <c r="C4" s="7">
        <v>2.7159000000001043E-3</v>
      </c>
      <c r="D4" t="s">
        <v>178</v>
      </c>
      <c r="E4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>
      <selection activeCell="J14" sqref="J14"/>
    </sheetView>
  </sheetViews>
  <sheetFormatPr defaultRowHeight="15" x14ac:dyDescent="0.25"/>
  <cols>
    <col min="1" max="1" width="9" bestFit="1" customWidth="1"/>
    <col min="2" max="2" width="7.28515625" bestFit="1" customWidth="1"/>
    <col min="3" max="4" width="12.7109375" bestFit="1" customWidth="1"/>
    <col min="5" max="5" width="12" bestFit="1" customWidth="1"/>
    <col min="6" max="6" width="12" customWidth="1"/>
    <col min="7" max="7" width="12" bestFit="1" customWidth="1"/>
    <col min="8" max="8" width="7.42578125" customWidth="1"/>
    <col min="9" max="9" width="19.7109375" customWidth="1"/>
    <col min="10" max="10" width="66.7109375" bestFit="1" customWidth="1"/>
  </cols>
  <sheetData>
    <row r="1" spans="1:11" s="2" customFormat="1" ht="45" x14ac:dyDescent="0.25">
      <c r="A1" s="3" t="s">
        <v>5</v>
      </c>
      <c r="B1" s="3" t="s">
        <v>9</v>
      </c>
      <c r="C1" s="3" t="s">
        <v>6</v>
      </c>
      <c r="D1" s="3" t="s">
        <v>7</v>
      </c>
      <c r="E1" s="3" t="s">
        <v>110</v>
      </c>
      <c r="F1" s="3" t="s">
        <v>111</v>
      </c>
      <c r="G1" s="3" t="s">
        <v>112</v>
      </c>
      <c r="H1" s="3" t="s">
        <v>90</v>
      </c>
      <c r="I1" s="3" t="s">
        <v>8</v>
      </c>
      <c r="J1" s="3" t="s">
        <v>145</v>
      </c>
      <c r="K1" s="72" t="s">
        <v>166</v>
      </c>
    </row>
    <row r="2" spans="1:11" x14ac:dyDescent="0.25">
      <c r="A2" t="s">
        <v>65</v>
      </c>
      <c r="B2" t="s">
        <v>12</v>
      </c>
      <c r="C2">
        <v>6.2270000000808068E-4</v>
      </c>
      <c r="D2">
        <v>3.6642000000002284E-3</v>
      </c>
      <c r="E2">
        <f ca="1">ROUND(25000*(1-(RAND()-0.5)*2*0.25),0)</f>
        <v>22918</v>
      </c>
      <c r="F2">
        <f ca="1">ROUND(15000*(1-(RAND()-0.5)*2*0.25),0)</f>
        <v>12227</v>
      </c>
      <c r="G2">
        <f ca="1">ROUND(135000*(1-(RAND()-0.5)*2*0.25),0)</f>
        <v>130860</v>
      </c>
      <c r="H2" t="s">
        <v>13</v>
      </c>
      <c r="I2" t="s">
        <v>162</v>
      </c>
      <c r="J2" t="s">
        <v>178</v>
      </c>
      <c r="K2" t="s">
        <v>221</v>
      </c>
    </row>
    <row r="3" spans="1:11" x14ac:dyDescent="0.25">
      <c r="A3" t="s">
        <v>65</v>
      </c>
      <c r="B3" t="s">
        <v>14</v>
      </c>
      <c r="C3">
        <v>6.8300000000931504E-4</v>
      </c>
      <c r="D3">
        <v>3.5990999999997442E-3</v>
      </c>
      <c r="E3">
        <f t="shared" ref="E3:E10" ca="1" si="0">ROUND(25000*(1-(RAND()-0.5)*2*0.25),0)</f>
        <v>18794</v>
      </c>
      <c r="F3">
        <f t="shared" ref="F3:F10" ca="1" si="1">ROUND(15000*(1-(RAND()-0.5)*2*0.25),0)</f>
        <v>16936</v>
      </c>
      <c r="G3">
        <f t="shared" ref="G3:G10" ca="1" si="2">ROUND(135000*(1-(RAND()-0.5)*2*0.25),0)</f>
        <v>163192</v>
      </c>
      <c r="H3" t="s">
        <v>13</v>
      </c>
      <c r="I3" t="s">
        <v>162</v>
      </c>
      <c r="J3" t="s">
        <v>178</v>
      </c>
      <c r="K3" t="s">
        <v>221</v>
      </c>
    </row>
    <row r="4" spans="1:11" x14ac:dyDescent="0.25">
      <c r="A4" t="s">
        <v>65</v>
      </c>
      <c r="B4" t="s">
        <v>15</v>
      </c>
      <c r="C4">
        <v>7.472000000063872E-4</v>
      </c>
      <c r="D4">
        <v>3.535300000000241E-3</v>
      </c>
      <c r="E4">
        <f t="shared" ca="1" si="0"/>
        <v>26393</v>
      </c>
      <c r="F4">
        <f t="shared" ca="1" si="1"/>
        <v>16976</v>
      </c>
      <c r="G4">
        <f t="shared" ca="1" si="2"/>
        <v>121110</v>
      </c>
      <c r="H4" t="s">
        <v>13</v>
      </c>
      <c r="I4" t="s">
        <v>162</v>
      </c>
      <c r="J4" t="s">
        <v>178</v>
      </c>
      <c r="K4" t="s">
        <v>221</v>
      </c>
    </row>
    <row r="5" spans="1:11" x14ac:dyDescent="0.25">
      <c r="A5" t="s">
        <v>65</v>
      </c>
      <c r="B5" t="s">
        <v>16</v>
      </c>
      <c r="C5">
        <v>8.0750000000762157E-4</v>
      </c>
      <c r="D5">
        <v>3.4701999999997568E-3</v>
      </c>
      <c r="E5">
        <f t="shared" ca="1" si="0"/>
        <v>27673</v>
      </c>
      <c r="F5">
        <f t="shared" ca="1" si="1"/>
        <v>15515</v>
      </c>
      <c r="G5">
        <f t="shared" ca="1" si="2"/>
        <v>152242</v>
      </c>
      <c r="H5" t="s">
        <v>13</v>
      </c>
      <c r="I5" t="s">
        <v>162</v>
      </c>
      <c r="J5" t="s">
        <v>178</v>
      </c>
      <c r="K5" t="s">
        <v>221</v>
      </c>
    </row>
    <row r="6" spans="1:11" x14ac:dyDescent="0.25">
      <c r="A6" t="s">
        <v>65</v>
      </c>
      <c r="B6" t="s">
        <v>17</v>
      </c>
      <c r="C6">
        <v>8.6509999999861975E-4</v>
      </c>
      <c r="D6">
        <v>3.4131000000003908E-3</v>
      </c>
      <c r="E6">
        <f t="shared" ca="1" si="0"/>
        <v>25702</v>
      </c>
      <c r="F6">
        <f t="shared" ca="1" si="1"/>
        <v>15520</v>
      </c>
      <c r="G6">
        <f t="shared" ca="1" si="2"/>
        <v>143856</v>
      </c>
      <c r="H6" t="s">
        <v>13</v>
      </c>
      <c r="I6" t="s">
        <v>162</v>
      </c>
      <c r="J6" t="s">
        <v>178</v>
      </c>
      <c r="K6" t="s">
        <v>221</v>
      </c>
    </row>
    <row r="7" spans="1:11" x14ac:dyDescent="0.25">
      <c r="A7" t="s">
        <v>65</v>
      </c>
      <c r="B7" t="s">
        <v>18</v>
      </c>
      <c r="C7">
        <v>9.2130000000167911E-4</v>
      </c>
      <c r="D7">
        <v>3.3573000000002295E-3</v>
      </c>
      <c r="E7">
        <f t="shared" ca="1" si="0"/>
        <v>21748</v>
      </c>
      <c r="F7">
        <f t="shared" ca="1" si="1"/>
        <v>15587</v>
      </c>
      <c r="G7">
        <f t="shared" ca="1" si="2"/>
        <v>125209</v>
      </c>
      <c r="H7" t="s">
        <v>13</v>
      </c>
      <c r="I7" t="s">
        <v>162</v>
      </c>
      <c r="J7" t="s">
        <v>178</v>
      </c>
      <c r="K7" t="s">
        <v>221</v>
      </c>
    </row>
    <row r="8" spans="1:11" x14ac:dyDescent="0.25">
      <c r="A8" t="s">
        <v>65</v>
      </c>
      <c r="B8" t="s">
        <v>19</v>
      </c>
      <c r="C8">
        <v>1.0057000000074368E-3</v>
      </c>
      <c r="D8">
        <v>3.2842000000004035E-3</v>
      </c>
      <c r="E8">
        <f t="shared" ca="1" si="0"/>
        <v>27908</v>
      </c>
      <c r="F8">
        <f t="shared" ca="1" si="1"/>
        <v>17045</v>
      </c>
      <c r="G8">
        <f t="shared" ca="1" si="2"/>
        <v>118176</v>
      </c>
      <c r="H8" t="s">
        <v>13</v>
      </c>
      <c r="I8" t="s">
        <v>162</v>
      </c>
      <c r="J8" t="s">
        <v>178</v>
      </c>
      <c r="K8" t="s">
        <v>221</v>
      </c>
    </row>
    <row r="9" spans="1:11" x14ac:dyDescent="0.25">
      <c r="A9" t="s">
        <v>65</v>
      </c>
      <c r="B9" t="s">
        <v>20</v>
      </c>
      <c r="C9">
        <v>1.0820000000109076E-3</v>
      </c>
      <c r="D9">
        <v>3.2072000000002987E-3</v>
      </c>
      <c r="E9">
        <f t="shared" ca="1" si="0"/>
        <v>22778</v>
      </c>
      <c r="F9">
        <f t="shared" ca="1" si="1"/>
        <v>11620</v>
      </c>
      <c r="G9">
        <f t="shared" ca="1" si="2"/>
        <v>105670</v>
      </c>
      <c r="H9" t="s">
        <v>13</v>
      </c>
      <c r="I9" t="s">
        <v>162</v>
      </c>
      <c r="J9" t="s">
        <v>178</v>
      </c>
      <c r="K9" t="s">
        <v>221</v>
      </c>
    </row>
    <row r="10" spans="1:11" x14ac:dyDescent="0.25">
      <c r="A10" t="s">
        <v>65</v>
      </c>
      <c r="B10" t="s">
        <v>21</v>
      </c>
      <c r="C10">
        <v>5.5580000000077234E-4</v>
      </c>
      <c r="D10">
        <v>3.7279999999997315E-3</v>
      </c>
      <c r="E10">
        <f t="shared" ca="1" si="0"/>
        <v>19101</v>
      </c>
      <c r="F10">
        <f t="shared" ca="1" si="1"/>
        <v>17314</v>
      </c>
      <c r="G10">
        <f t="shared" ca="1" si="2"/>
        <v>105239</v>
      </c>
      <c r="H10" t="s">
        <v>13</v>
      </c>
      <c r="I10" t="s">
        <v>162</v>
      </c>
      <c r="J10" t="s">
        <v>178</v>
      </c>
      <c r="K10" t="s">
        <v>221</v>
      </c>
    </row>
  </sheetData>
  <phoneticPr fontId="3" type="noConversion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topLeftCell="J1" workbookViewId="0">
      <selection activeCell="P2" sqref="P2"/>
    </sheetView>
  </sheetViews>
  <sheetFormatPr defaultRowHeight="15" x14ac:dyDescent="0.25"/>
  <cols>
    <col min="2" max="2" width="13.85546875" bestFit="1" customWidth="1"/>
    <col min="3" max="3" width="13.85546875" customWidth="1"/>
    <col min="4" max="4" width="12.85546875" customWidth="1"/>
    <col min="5" max="5" width="12.5703125" customWidth="1"/>
    <col min="6" max="6" width="10.28515625" style="4" customWidth="1"/>
    <col min="8" max="11" width="18.7109375" customWidth="1"/>
    <col min="12" max="12" width="34.85546875" bestFit="1" customWidth="1"/>
    <col min="14" max="14" width="31.5703125" customWidth="1"/>
    <col min="15" max="15" width="65.42578125" bestFit="1" customWidth="1"/>
    <col min="16" max="16" width="9.85546875" bestFit="1" customWidth="1"/>
  </cols>
  <sheetData>
    <row r="1" spans="1:16" s="31" customFormat="1" ht="60" x14ac:dyDescent="0.25">
      <c r="A1" s="25" t="s">
        <v>5</v>
      </c>
      <c r="B1" s="25" t="s">
        <v>9</v>
      </c>
      <c r="C1" s="29" t="s">
        <v>108</v>
      </c>
      <c r="D1" s="29" t="s">
        <v>10</v>
      </c>
      <c r="E1" s="29" t="s">
        <v>11</v>
      </c>
      <c r="F1" s="25" t="s">
        <v>136</v>
      </c>
      <c r="G1" s="30" t="s">
        <v>96</v>
      </c>
      <c r="H1" s="24" t="s">
        <v>170</v>
      </c>
      <c r="I1" s="24" t="s">
        <v>171</v>
      </c>
      <c r="J1" s="24" t="s">
        <v>172</v>
      </c>
      <c r="K1" s="24" t="s">
        <v>173</v>
      </c>
      <c r="L1" s="24" t="s">
        <v>174</v>
      </c>
      <c r="M1" s="30" t="s">
        <v>91</v>
      </c>
      <c r="N1" s="25" t="s">
        <v>8</v>
      </c>
      <c r="O1" s="25" t="s">
        <v>220</v>
      </c>
      <c r="P1" s="25" t="s">
        <v>166</v>
      </c>
    </row>
    <row r="2" spans="1:16" s="2" customFormat="1" x14ac:dyDescent="0.25">
      <c r="A2" t="s">
        <v>59</v>
      </c>
      <c r="B2" t="s">
        <v>82</v>
      </c>
      <c r="C2" s="11">
        <v>365</v>
      </c>
      <c r="D2" s="11">
        <v>62</v>
      </c>
      <c r="E2" s="11">
        <v>0.02</v>
      </c>
      <c r="F2" s="4" t="s">
        <v>57</v>
      </c>
      <c r="G2">
        <v>1</v>
      </c>
      <c r="H2" s="23">
        <v>1</v>
      </c>
      <c r="I2" s="23">
        <v>0.1</v>
      </c>
      <c r="J2" s="23">
        <v>1</v>
      </c>
      <c r="K2" s="23">
        <v>20</v>
      </c>
      <c r="L2" s="23" t="s">
        <v>179</v>
      </c>
      <c r="M2" t="s">
        <v>92</v>
      </c>
      <c r="N2" t="s">
        <v>71</v>
      </c>
      <c r="O2" t="s">
        <v>222</v>
      </c>
      <c r="P2" t="s">
        <v>231</v>
      </c>
    </row>
    <row r="3" spans="1:16" x14ac:dyDescent="0.25">
      <c r="A3" t="s">
        <v>59</v>
      </c>
      <c r="B3" t="s">
        <v>94</v>
      </c>
      <c r="C3" s="11">
        <v>365</v>
      </c>
      <c r="D3" s="11">
        <v>62</v>
      </c>
      <c r="E3" s="11">
        <v>0.02</v>
      </c>
      <c r="F3" s="4" t="s">
        <v>57</v>
      </c>
      <c r="G3">
        <v>1</v>
      </c>
      <c r="H3" s="23">
        <v>1</v>
      </c>
      <c r="I3" s="23">
        <v>0.1</v>
      </c>
      <c r="J3" s="23">
        <v>1</v>
      </c>
      <c r="K3" s="23">
        <v>20</v>
      </c>
      <c r="L3" s="23" t="s">
        <v>179</v>
      </c>
      <c r="M3" t="s">
        <v>93</v>
      </c>
      <c r="N3" t="s">
        <v>71</v>
      </c>
      <c r="O3" t="s">
        <v>223</v>
      </c>
      <c r="P3" t="s">
        <v>231</v>
      </c>
    </row>
    <row r="4" spans="1:16" x14ac:dyDescent="0.25">
      <c r="A4" t="s">
        <v>59</v>
      </c>
      <c r="B4" t="s">
        <v>103</v>
      </c>
      <c r="C4" s="11">
        <v>365</v>
      </c>
      <c r="D4" s="11">
        <v>45</v>
      </c>
      <c r="E4" s="11">
        <v>3.7499999999999999E-2</v>
      </c>
      <c r="F4" s="4" t="s">
        <v>57</v>
      </c>
      <c r="G4">
        <v>0</v>
      </c>
      <c r="H4" s="23">
        <v>1</v>
      </c>
      <c r="I4" s="23">
        <v>0.1</v>
      </c>
      <c r="J4" s="23">
        <v>1</v>
      </c>
      <c r="K4" s="23">
        <v>20</v>
      </c>
      <c r="L4" s="23" t="s">
        <v>179</v>
      </c>
      <c r="M4" t="s">
        <v>104</v>
      </c>
      <c r="N4" t="s">
        <v>71</v>
      </c>
      <c r="O4" t="s">
        <v>224</v>
      </c>
      <c r="P4" t="s">
        <v>231</v>
      </c>
    </row>
  </sheetData>
  <phoneticPr fontId="3" type="noConversion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"/>
  <sheetViews>
    <sheetView workbookViewId="0">
      <selection activeCell="I2" sqref="I2"/>
    </sheetView>
  </sheetViews>
  <sheetFormatPr defaultRowHeight="15" x14ac:dyDescent="0.25"/>
  <cols>
    <col min="1" max="1" width="8.42578125" bestFit="1" customWidth="1"/>
    <col min="2" max="2" width="6.85546875" bestFit="1" customWidth="1"/>
    <col min="3" max="3" width="21.7109375" customWidth="1"/>
    <col min="4" max="6" width="14.28515625" style="4" customWidth="1"/>
    <col min="7" max="7" width="23.7109375" bestFit="1" customWidth="1"/>
    <col min="8" max="8" width="19.85546875" bestFit="1" customWidth="1"/>
    <col min="9" max="9" width="9.85546875" bestFit="1" customWidth="1"/>
  </cols>
  <sheetData>
    <row r="1" spans="1:9" s="2" customFormat="1" ht="61.15" customHeight="1" x14ac:dyDescent="0.25">
      <c r="A1" s="3" t="s">
        <v>5</v>
      </c>
      <c r="B1" s="3" t="s">
        <v>9</v>
      </c>
      <c r="C1" s="10" t="s">
        <v>108</v>
      </c>
      <c r="D1" s="10" t="s">
        <v>10</v>
      </c>
      <c r="E1" s="10" t="s">
        <v>11</v>
      </c>
      <c r="F1" s="3" t="s">
        <v>136</v>
      </c>
      <c r="G1" s="3" t="s">
        <v>8</v>
      </c>
      <c r="H1" s="3" t="s">
        <v>220</v>
      </c>
      <c r="I1" s="25" t="s">
        <v>166</v>
      </c>
    </row>
    <row r="2" spans="1:9" x14ac:dyDescent="0.25">
      <c r="A2" t="s">
        <v>59</v>
      </c>
      <c r="B2" t="s">
        <v>23</v>
      </c>
      <c r="C2" s="11">
        <v>365</v>
      </c>
      <c r="D2" s="12">
        <v>182</v>
      </c>
      <c r="E2" s="12">
        <v>0.02</v>
      </c>
      <c r="F2" s="4" t="s">
        <v>57</v>
      </c>
      <c r="G2" t="s">
        <v>72</v>
      </c>
      <c r="H2" t="s">
        <v>199</v>
      </c>
      <c r="I2" t="s">
        <v>232</v>
      </c>
    </row>
    <row r="3" spans="1:9" x14ac:dyDescent="0.25">
      <c r="A3" t="s">
        <v>59</v>
      </c>
      <c r="B3" t="s">
        <v>24</v>
      </c>
      <c r="C3" s="11">
        <v>365</v>
      </c>
      <c r="D3" s="12">
        <v>182</v>
      </c>
      <c r="E3" s="12">
        <v>0.02</v>
      </c>
      <c r="F3" s="4" t="s">
        <v>57</v>
      </c>
      <c r="G3" t="s">
        <v>72</v>
      </c>
      <c r="H3" t="s">
        <v>199</v>
      </c>
      <c r="I3" t="s">
        <v>232</v>
      </c>
    </row>
    <row r="4" spans="1:9" x14ac:dyDescent="0.25">
      <c r="A4" t="s">
        <v>59</v>
      </c>
      <c r="B4" t="s">
        <v>25</v>
      </c>
      <c r="C4" s="11">
        <v>365</v>
      </c>
      <c r="D4" s="12">
        <v>182</v>
      </c>
      <c r="E4" s="12">
        <v>0.02</v>
      </c>
      <c r="F4" s="4" t="s">
        <v>57</v>
      </c>
      <c r="G4" t="s">
        <v>72</v>
      </c>
      <c r="H4" t="s">
        <v>199</v>
      </c>
      <c r="I4" t="s">
        <v>232</v>
      </c>
    </row>
    <row r="5" spans="1:9" x14ac:dyDescent="0.25">
      <c r="C5" s="11"/>
      <c r="D5" s="12"/>
      <c r="E5" s="12"/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4"/>
  <sheetViews>
    <sheetView topLeftCell="I1" workbookViewId="0">
      <selection activeCell="R13" sqref="R13"/>
    </sheetView>
  </sheetViews>
  <sheetFormatPr defaultRowHeight="15" x14ac:dyDescent="0.25"/>
  <cols>
    <col min="1" max="1" width="9.28515625" bestFit="1" customWidth="1"/>
    <col min="2" max="2" width="22.7109375" customWidth="1"/>
    <col min="3" max="3" width="14.42578125" customWidth="1"/>
    <col min="4" max="6" width="16" style="4" customWidth="1"/>
    <col min="7" max="7" width="22.85546875" bestFit="1" customWidth="1"/>
    <col min="8" max="8" width="32.140625" customWidth="1"/>
    <col min="9" max="9" width="14.7109375" customWidth="1"/>
    <col min="10" max="10" width="12.85546875" customWidth="1"/>
    <col min="11" max="11" width="12.28515625" customWidth="1"/>
    <col min="12" max="12" width="12.7109375" customWidth="1"/>
    <col min="13" max="13" width="12" customWidth="1"/>
    <col min="14" max="14" width="13.7109375" customWidth="1"/>
    <col min="15" max="15" width="14.5703125" customWidth="1"/>
    <col min="16" max="16" width="14" customWidth="1"/>
    <col min="17" max="18" width="16.28515625" customWidth="1"/>
    <col min="19" max="19" width="15.42578125" customWidth="1"/>
    <col min="20" max="20" width="13.28515625" customWidth="1"/>
  </cols>
  <sheetData>
    <row r="1" spans="1:21" s="31" customFormat="1" ht="75" x14ac:dyDescent="0.25">
      <c r="A1" s="25" t="s">
        <v>5</v>
      </c>
      <c r="B1" s="25" t="s">
        <v>9</v>
      </c>
      <c r="C1" s="29" t="s">
        <v>108</v>
      </c>
      <c r="D1" s="29" t="s">
        <v>10</v>
      </c>
      <c r="E1" s="29" t="s">
        <v>11</v>
      </c>
      <c r="F1" s="25" t="s">
        <v>136</v>
      </c>
      <c r="G1" s="25" t="s">
        <v>8</v>
      </c>
      <c r="H1" s="25" t="s">
        <v>220</v>
      </c>
      <c r="I1" s="25" t="s">
        <v>208</v>
      </c>
      <c r="J1" s="40" t="s">
        <v>201</v>
      </c>
      <c r="K1" s="41" t="s">
        <v>202</v>
      </c>
      <c r="L1" s="41" t="s">
        <v>203</v>
      </c>
      <c r="M1" s="20" t="s">
        <v>204</v>
      </c>
      <c r="N1" s="25" t="s">
        <v>207</v>
      </c>
      <c r="O1" s="43" t="s">
        <v>205</v>
      </c>
      <c r="P1" s="43" t="s">
        <v>206</v>
      </c>
      <c r="Q1" s="26" t="s">
        <v>209</v>
      </c>
      <c r="R1" s="45" t="s">
        <v>210</v>
      </c>
      <c r="S1" s="45" t="s">
        <v>211</v>
      </c>
      <c r="T1" s="46" t="s">
        <v>212</v>
      </c>
      <c r="U1" s="25" t="s">
        <v>166</v>
      </c>
    </row>
    <row r="2" spans="1:21" x14ac:dyDescent="0.25">
      <c r="A2" t="s">
        <v>59</v>
      </c>
      <c r="B2" t="s">
        <v>67</v>
      </c>
      <c r="C2" s="11">
        <v>365</v>
      </c>
      <c r="D2" s="12">
        <v>11634</v>
      </c>
      <c r="E2" s="12">
        <v>0.02</v>
      </c>
      <c r="F2" s="4" t="s">
        <v>57</v>
      </c>
      <c r="G2" t="s">
        <v>200</v>
      </c>
      <c r="H2" t="s">
        <v>199</v>
      </c>
      <c r="I2" t="b">
        <v>1</v>
      </c>
      <c r="J2" s="17">
        <v>1</v>
      </c>
      <c r="K2" s="42">
        <v>0</v>
      </c>
      <c r="L2" s="42">
        <v>182.5</v>
      </c>
      <c r="M2" s="17">
        <v>7.3332999999999995E-2</v>
      </c>
      <c r="N2" t="b">
        <v>1</v>
      </c>
      <c r="O2" s="44">
        <v>0</v>
      </c>
      <c r="P2" s="44">
        <v>182.5</v>
      </c>
      <c r="Q2" s="16">
        <v>0.11364</v>
      </c>
      <c r="R2" s="47">
        <v>0</v>
      </c>
      <c r="S2" s="47">
        <v>121.66670000000001</v>
      </c>
      <c r="T2" s="15">
        <v>0.11364</v>
      </c>
      <c r="U2" t="s">
        <v>233</v>
      </c>
    </row>
    <row r="3" spans="1:21" x14ac:dyDescent="0.25">
      <c r="A3" t="s">
        <v>65</v>
      </c>
      <c r="B3" t="s">
        <v>68</v>
      </c>
      <c r="C3" s="11">
        <v>365</v>
      </c>
      <c r="D3" s="12">
        <v>450</v>
      </c>
      <c r="E3" s="12">
        <v>0.02</v>
      </c>
      <c r="F3" s="4" t="s">
        <v>57</v>
      </c>
      <c r="G3" t="s">
        <v>200</v>
      </c>
      <c r="H3" t="s">
        <v>199</v>
      </c>
      <c r="I3" t="b">
        <v>0</v>
      </c>
      <c r="J3" s="17">
        <v>0</v>
      </c>
      <c r="K3" s="17">
        <v>0</v>
      </c>
      <c r="L3" s="17">
        <v>0</v>
      </c>
      <c r="M3" s="17">
        <v>0.1</v>
      </c>
      <c r="N3" t="b">
        <v>0</v>
      </c>
      <c r="O3" s="16">
        <v>0</v>
      </c>
      <c r="P3" s="16">
        <v>0</v>
      </c>
      <c r="Q3" s="16">
        <v>0.1</v>
      </c>
      <c r="R3" s="15">
        <v>0</v>
      </c>
      <c r="S3" s="15">
        <v>0</v>
      </c>
      <c r="T3" s="15">
        <v>0.1</v>
      </c>
      <c r="U3" t="s">
        <v>233</v>
      </c>
    </row>
    <row r="4" spans="1:21" x14ac:dyDescent="0.25">
      <c r="A4" t="s">
        <v>66</v>
      </c>
      <c r="B4" t="s">
        <v>69</v>
      </c>
      <c r="C4" s="11">
        <v>365</v>
      </c>
      <c r="D4" s="12">
        <v>230</v>
      </c>
      <c r="E4" s="12">
        <v>0.02</v>
      </c>
      <c r="F4" s="4" t="s">
        <v>57</v>
      </c>
      <c r="G4" t="s">
        <v>200</v>
      </c>
      <c r="H4" t="s">
        <v>199</v>
      </c>
      <c r="I4" t="b">
        <v>0</v>
      </c>
      <c r="J4" s="17">
        <v>0</v>
      </c>
      <c r="K4" s="17">
        <v>0</v>
      </c>
      <c r="L4" s="17">
        <v>0</v>
      </c>
      <c r="M4" s="17">
        <v>0.1</v>
      </c>
      <c r="N4" t="b">
        <v>0</v>
      </c>
      <c r="O4" s="16">
        <v>0</v>
      </c>
      <c r="P4" s="16">
        <v>0</v>
      </c>
      <c r="Q4" s="16">
        <v>0.1</v>
      </c>
      <c r="R4" s="15">
        <v>0</v>
      </c>
      <c r="S4" s="15">
        <v>0</v>
      </c>
      <c r="T4" s="15">
        <v>0.1</v>
      </c>
      <c r="U4" t="s">
        <v>233</v>
      </c>
    </row>
  </sheetData>
  <phoneticPr fontId="3" type="noConversion"/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3"/>
  <sheetViews>
    <sheetView topLeftCell="AR1" workbookViewId="0">
      <selection activeCell="AX2" sqref="AX2"/>
    </sheetView>
  </sheetViews>
  <sheetFormatPr defaultColWidth="10" defaultRowHeight="15" x14ac:dyDescent="0.25"/>
  <cols>
    <col min="1" max="1" width="9.5703125" bestFit="1" customWidth="1"/>
    <col min="2" max="2" width="21.42578125" bestFit="1" customWidth="1"/>
    <col min="3" max="3" width="13.42578125" customWidth="1"/>
    <col min="4" max="5" width="12" customWidth="1"/>
    <col min="6" max="6" width="8.5703125" bestFit="1" customWidth="1"/>
    <col min="7" max="7" width="9.42578125" bestFit="1" customWidth="1"/>
    <col min="8" max="8" width="11.140625" customWidth="1"/>
    <col min="9" max="9" width="7.85546875" bestFit="1" customWidth="1"/>
    <col min="10" max="10" width="13.5703125" style="4" customWidth="1"/>
    <col min="11" max="11" width="8.28515625" bestFit="1" customWidth="1"/>
    <col min="12" max="12" width="7.85546875" style="4" bestFit="1" customWidth="1"/>
    <col min="13" max="13" width="9.85546875" bestFit="1" customWidth="1"/>
    <col min="15" max="15" width="6.42578125" bestFit="1" customWidth="1"/>
    <col min="16" max="16" width="6.5703125" bestFit="1" customWidth="1"/>
    <col min="17" max="17" width="8" bestFit="1" customWidth="1"/>
    <col min="18" max="19" width="8.85546875" bestFit="1" customWidth="1"/>
    <col min="20" max="21" width="9.28515625" bestFit="1" customWidth="1"/>
    <col min="22" max="25" width="11.5703125" customWidth="1"/>
    <col min="26" max="26" width="13" customWidth="1"/>
    <col min="27" max="27" width="9.5703125" customWidth="1"/>
    <col min="29" max="31" width="9.5703125" bestFit="1" customWidth="1"/>
    <col min="33" max="34" width="9.42578125" bestFit="1" customWidth="1"/>
    <col min="35" max="35" width="9.85546875" bestFit="1" customWidth="1"/>
    <col min="37" max="37" width="9.85546875" bestFit="1" customWidth="1"/>
    <col min="39" max="39" width="9.7109375" bestFit="1" customWidth="1"/>
    <col min="41" max="42" width="9.7109375" bestFit="1" customWidth="1"/>
    <col min="43" max="45" width="10.7109375" bestFit="1" customWidth="1"/>
    <col min="47" max="47" width="16" bestFit="1" customWidth="1"/>
    <col min="48" max="49" width="65.42578125" bestFit="1" customWidth="1"/>
    <col min="50" max="50" width="9.85546875" bestFit="1" customWidth="1"/>
  </cols>
  <sheetData>
    <row r="1" spans="1:52" ht="120" x14ac:dyDescent="0.25">
      <c r="A1" s="25" t="s">
        <v>5</v>
      </c>
      <c r="B1" s="25" t="s">
        <v>9</v>
      </c>
      <c r="C1" s="29" t="s">
        <v>108</v>
      </c>
      <c r="D1" s="29" t="s">
        <v>10</v>
      </c>
      <c r="E1" s="29" t="s">
        <v>11</v>
      </c>
      <c r="F1" s="24" t="s">
        <v>136</v>
      </c>
      <c r="G1" s="64" t="s">
        <v>141</v>
      </c>
      <c r="H1" s="25" t="s">
        <v>216</v>
      </c>
      <c r="I1" s="35" t="s">
        <v>138</v>
      </c>
      <c r="J1" s="66" t="s">
        <v>142</v>
      </c>
      <c r="K1" s="35" t="s">
        <v>26</v>
      </c>
      <c r="L1" s="35" t="s">
        <v>27</v>
      </c>
      <c r="M1" s="48" t="s">
        <v>28</v>
      </c>
      <c r="N1" s="48" t="s">
        <v>29</v>
      </c>
      <c r="O1" s="48" t="s">
        <v>214</v>
      </c>
      <c r="P1" s="48" t="s">
        <v>215</v>
      </c>
      <c r="Q1" s="51" t="s">
        <v>113</v>
      </c>
      <c r="R1" s="49" t="s">
        <v>154</v>
      </c>
      <c r="S1" s="49" t="s">
        <v>155</v>
      </c>
      <c r="T1" s="25" t="s">
        <v>152</v>
      </c>
      <c r="U1" s="25" t="s">
        <v>153</v>
      </c>
      <c r="V1" s="46" t="s">
        <v>156</v>
      </c>
      <c r="W1" s="38" t="s">
        <v>114</v>
      </c>
      <c r="X1" s="38" t="s">
        <v>115</v>
      </c>
      <c r="Y1" s="38" t="s">
        <v>30</v>
      </c>
      <c r="Z1" s="25" t="s">
        <v>198</v>
      </c>
      <c r="AA1" s="37" t="s">
        <v>157</v>
      </c>
      <c r="AB1" s="20" t="s">
        <v>116</v>
      </c>
      <c r="AC1" s="20" t="s">
        <v>117</v>
      </c>
      <c r="AD1" s="37" t="s">
        <v>31</v>
      </c>
      <c r="AE1" s="26" t="s">
        <v>158</v>
      </c>
      <c r="AF1" s="36" t="s">
        <v>118</v>
      </c>
      <c r="AG1" s="26" t="s">
        <v>119</v>
      </c>
      <c r="AH1" s="36" t="s">
        <v>62</v>
      </c>
      <c r="AI1" s="62" t="s">
        <v>159</v>
      </c>
      <c r="AJ1" s="68" t="s">
        <v>120</v>
      </c>
      <c r="AK1" s="68" t="s">
        <v>121</v>
      </c>
      <c r="AL1" s="68" t="s">
        <v>63</v>
      </c>
      <c r="AM1" s="32" t="s">
        <v>160</v>
      </c>
      <c r="AN1" s="32" t="s">
        <v>122</v>
      </c>
      <c r="AO1" s="32" t="s">
        <v>123</v>
      </c>
      <c r="AP1" s="32" t="s">
        <v>32</v>
      </c>
      <c r="AQ1" s="34" t="s">
        <v>161</v>
      </c>
      <c r="AR1" s="69" t="s">
        <v>124</v>
      </c>
      <c r="AS1" s="69" t="s">
        <v>125</v>
      </c>
      <c r="AT1" s="69" t="s">
        <v>64</v>
      </c>
      <c r="AU1" s="25" t="s">
        <v>8</v>
      </c>
      <c r="AV1" s="33" t="s">
        <v>220</v>
      </c>
      <c r="AW1" s="39" t="s">
        <v>146</v>
      </c>
      <c r="AX1" s="25" t="s">
        <v>166</v>
      </c>
      <c r="AY1" s="25" t="s">
        <v>217</v>
      </c>
      <c r="AZ1" s="25" t="s">
        <v>218</v>
      </c>
    </row>
    <row r="2" spans="1:52" x14ac:dyDescent="0.25">
      <c r="A2" t="s">
        <v>59</v>
      </c>
      <c r="B2" t="s">
        <v>106</v>
      </c>
      <c r="C2" s="11">
        <v>365</v>
      </c>
      <c r="D2" s="11">
        <v>400</v>
      </c>
      <c r="E2" s="11">
        <v>0.02</v>
      </c>
      <c r="F2" s="65" t="s">
        <v>57</v>
      </c>
      <c r="G2" s="23" t="s">
        <v>61</v>
      </c>
      <c r="H2" s="67">
        <v>735</v>
      </c>
      <c r="I2" s="13" t="s">
        <v>34</v>
      </c>
      <c r="J2" s="67" t="s">
        <v>35</v>
      </c>
      <c r="K2" s="13">
        <v>0.9</v>
      </c>
      <c r="L2" s="13">
        <v>0.05</v>
      </c>
      <c r="M2" s="19">
        <v>0.9</v>
      </c>
      <c r="N2" s="19">
        <v>0</v>
      </c>
      <c r="O2" s="19">
        <f>24*21</f>
        <v>504</v>
      </c>
      <c r="P2" s="19">
        <f>24*7*6</f>
        <v>1008</v>
      </c>
      <c r="Q2" s="52" t="s">
        <v>137</v>
      </c>
      <c r="R2" s="50">
        <v>3</v>
      </c>
      <c r="S2" s="50">
        <v>0</v>
      </c>
      <c r="T2">
        <f>60*15</f>
        <v>900</v>
      </c>
      <c r="U2">
        <f>ROUND(150*600/14.7,0)</f>
        <v>6122</v>
      </c>
      <c r="V2" s="15">
        <v>1</v>
      </c>
      <c r="W2" s="15">
        <v>0</v>
      </c>
      <c r="X2" s="15">
        <v>182.5</v>
      </c>
      <c r="Y2" s="15">
        <v>0.21634999999999999</v>
      </c>
      <c r="Z2" t="b">
        <v>1</v>
      </c>
      <c r="AA2" s="17">
        <v>1</v>
      </c>
      <c r="AB2" s="17">
        <v>0</v>
      </c>
      <c r="AC2" s="17">
        <v>182.5</v>
      </c>
      <c r="AD2" s="17">
        <v>8.3141000000000007E-2</v>
      </c>
      <c r="AE2" s="16">
        <v>1</v>
      </c>
      <c r="AF2" s="16">
        <v>0</v>
      </c>
      <c r="AG2" s="16">
        <v>182.5</v>
      </c>
      <c r="AH2" s="16">
        <v>0.47815999999999997</v>
      </c>
      <c r="AI2" s="60">
        <v>1</v>
      </c>
      <c r="AJ2" s="60">
        <v>0</v>
      </c>
      <c r="AK2" s="60">
        <v>121.66670000000001</v>
      </c>
      <c r="AL2" s="60">
        <v>2.6738E-3</v>
      </c>
      <c r="AM2" s="14">
        <v>1</v>
      </c>
      <c r="AN2" s="14">
        <v>0</v>
      </c>
      <c r="AO2" s="14">
        <v>182.5</v>
      </c>
      <c r="AP2" s="14">
        <v>0.11268</v>
      </c>
      <c r="AQ2" s="18">
        <v>1</v>
      </c>
      <c r="AR2" s="18">
        <v>0</v>
      </c>
      <c r="AS2" s="18">
        <v>121.66670000000001</v>
      </c>
      <c r="AT2" s="18">
        <v>2.7855000000000002E-3</v>
      </c>
      <c r="AU2" t="s">
        <v>73</v>
      </c>
      <c r="AV2" t="s">
        <v>228</v>
      </c>
      <c r="AW2" t="s">
        <v>228</v>
      </c>
      <c r="AX2" t="s">
        <v>234</v>
      </c>
      <c r="AY2">
        <v>0.35</v>
      </c>
      <c r="AZ2" t="s">
        <v>219</v>
      </c>
    </row>
    <row r="3" spans="1:52" x14ac:dyDescent="0.25">
      <c r="A3" t="s">
        <v>59</v>
      </c>
      <c r="B3" t="s">
        <v>105</v>
      </c>
      <c r="C3" s="11">
        <v>365</v>
      </c>
      <c r="D3" s="11">
        <v>400</v>
      </c>
      <c r="E3" s="11">
        <v>0.02</v>
      </c>
      <c r="F3" s="65" t="s">
        <v>57</v>
      </c>
      <c r="G3" s="23" t="s">
        <v>61</v>
      </c>
      <c r="H3" s="67">
        <v>736</v>
      </c>
      <c r="I3" s="13" t="s">
        <v>34</v>
      </c>
      <c r="J3" s="67" t="s">
        <v>35</v>
      </c>
      <c r="K3" s="13">
        <v>0.9</v>
      </c>
      <c r="L3" s="13">
        <v>0.05</v>
      </c>
      <c r="M3" s="19">
        <v>0.9</v>
      </c>
      <c r="N3" s="19">
        <v>0</v>
      </c>
      <c r="O3" s="19">
        <f>24*21</f>
        <v>504</v>
      </c>
      <c r="P3" s="19">
        <f>24*7*6</f>
        <v>1008</v>
      </c>
      <c r="Q3" s="52" t="s">
        <v>137</v>
      </c>
      <c r="R3" s="50">
        <v>3</v>
      </c>
      <c r="S3" s="50">
        <v>0</v>
      </c>
      <c r="T3">
        <f>60*15</f>
        <v>900</v>
      </c>
      <c r="U3">
        <f>ROUND(150*600/14.7,0)</f>
        <v>6122</v>
      </c>
      <c r="V3" s="15">
        <v>1</v>
      </c>
      <c r="W3" s="15">
        <v>0</v>
      </c>
      <c r="X3" s="15">
        <v>182.5</v>
      </c>
      <c r="Y3" s="15">
        <v>0.21634999999999999</v>
      </c>
      <c r="Z3" t="b">
        <v>1</v>
      </c>
      <c r="AA3" s="17">
        <v>1</v>
      </c>
      <c r="AB3" s="17">
        <v>0</v>
      </c>
      <c r="AC3" s="17">
        <v>182.5</v>
      </c>
      <c r="AD3" s="17">
        <v>8.3141000000000007E-2</v>
      </c>
      <c r="AE3" s="16">
        <v>1</v>
      </c>
      <c r="AF3" s="16">
        <v>0</v>
      </c>
      <c r="AG3" s="16">
        <v>182.5</v>
      </c>
      <c r="AH3" s="16">
        <v>0.47815999999999997</v>
      </c>
      <c r="AI3" s="60">
        <v>1</v>
      </c>
      <c r="AJ3" s="60">
        <v>0</v>
      </c>
      <c r="AK3" s="60">
        <v>121.66670000000001</v>
      </c>
      <c r="AL3" s="60">
        <v>2.6738E-3</v>
      </c>
      <c r="AM3" s="14">
        <v>1</v>
      </c>
      <c r="AN3" s="14">
        <v>0</v>
      </c>
      <c r="AO3" s="14">
        <v>182.5</v>
      </c>
      <c r="AP3" s="14">
        <v>0.11268</v>
      </c>
      <c r="AQ3" s="18">
        <v>1</v>
      </c>
      <c r="AR3" s="18">
        <v>0</v>
      </c>
      <c r="AS3" s="18">
        <v>121.66670000000001</v>
      </c>
      <c r="AT3" s="18">
        <v>2.7855000000000002E-3</v>
      </c>
      <c r="AU3" t="s">
        <v>73</v>
      </c>
      <c r="AV3" t="s">
        <v>224</v>
      </c>
      <c r="AW3" t="s">
        <v>224</v>
      </c>
      <c r="AX3" t="s">
        <v>234</v>
      </c>
      <c r="AY3">
        <v>0.35</v>
      </c>
      <c r="AZ3" t="s">
        <v>219</v>
      </c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4"/>
  <sheetViews>
    <sheetView topLeftCell="AN1" workbookViewId="0">
      <selection activeCell="AU12" sqref="AU12"/>
    </sheetView>
  </sheetViews>
  <sheetFormatPr defaultRowHeight="15" x14ac:dyDescent="0.25"/>
  <cols>
    <col min="1" max="1" width="9" bestFit="1" customWidth="1"/>
    <col min="2" max="2" width="7.85546875" bestFit="1" customWidth="1"/>
    <col min="3" max="5" width="27.85546875" customWidth="1"/>
    <col min="6" max="6" width="12.7109375" style="4" customWidth="1"/>
    <col min="7" max="7" width="11" customWidth="1"/>
    <col min="8" max="8" width="11.7109375" customWidth="1"/>
    <col min="9" max="9" width="11.140625" customWidth="1"/>
    <col min="10" max="10" width="14.42578125" customWidth="1"/>
    <col min="11" max="11" width="8.28515625" bestFit="1" customWidth="1"/>
    <col min="12" max="12" width="7.85546875" bestFit="1" customWidth="1"/>
    <col min="13" max="13" width="11" customWidth="1"/>
    <col min="14" max="14" width="11.140625" customWidth="1"/>
    <col min="15" max="18" width="8.5703125" customWidth="1"/>
    <col min="19" max="19" width="14.140625" customWidth="1"/>
    <col min="20" max="21" width="8.85546875" bestFit="1" customWidth="1"/>
    <col min="22" max="23" width="10.5703125" customWidth="1"/>
    <col min="24" max="24" width="15.5703125"/>
    <col min="25" max="26" width="10.5703125" customWidth="1"/>
    <col min="27" max="27" width="11.28515625" customWidth="1"/>
    <col min="28" max="28" width="15.42578125" customWidth="1"/>
    <col min="29" max="29" width="15.5703125"/>
    <col min="30" max="31" width="15.42578125" customWidth="1"/>
    <col min="32" max="32" width="9" bestFit="1" customWidth="1"/>
    <col min="33" max="33" width="12.5703125" customWidth="1"/>
    <col min="34" max="35" width="9" customWidth="1"/>
    <col min="36" max="36" width="8" bestFit="1" customWidth="1"/>
    <col min="37" max="37" width="14.28515625" customWidth="1"/>
    <col min="38" max="38" width="14.7109375" customWidth="1"/>
    <col min="39" max="39" width="14.28515625" customWidth="1"/>
    <col min="40" max="41" width="16.42578125" customWidth="1"/>
    <col min="42" max="42" width="15.42578125" customWidth="1"/>
    <col min="43" max="43" width="12.5703125" customWidth="1"/>
    <col min="44" max="45" width="15.140625" customWidth="1"/>
    <col min="46" max="46" width="15.7109375" customWidth="1"/>
    <col min="47" max="47" width="16.7109375" customWidth="1"/>
    <col min="48" max="48" width="13.28515625" customWidth="1"/>
    <col min="49" max="49" width="16" bestFit="1" customWidth="1"/>
    <col min="50" max="50" width="19.85546875" bestFit="1" customWidth="1"/>
    <col min="51" max="51" width="20.7109375" bestFit="1" customWidth="1"/>
  </cols>
  <sheetData>
    <row r="1" spans="1:52" s="31" customFormat="1" ht="75" x14ac:dyDescent="0.25">
      <c r="A1" s="25" t="s">
        <v>5</v>
      </c>
      <c r="B1" s="25" t="s">
        <v>9</v>
      </c>
      <c r="C1" s="29" t="s">
        <v>108</v>
      </c>
      <c r="D1" s="29" t="s">
        <v>10</v>
      </c>
      <c r="E1" s="29" t="s">
        <v>11</v>
      </c>
      <c r="F1" s="53" t="s">
        <v>136</v>
      </c>
      <c r="G1" s="54" t="s">
        <v>141</v>
      </c>
      <c r="H1" s="25" t="s">
        <v>216</v>
      </c>
      <c r="I1" s="20" t="s">
        <v>138</v>
      </c>
      <c r="J1" s="20" t="s">
        <v>142</v>
      </c>
      <c r="K1" s="20" t="s">
        <v>26</v>
      </c>
      <c r="L1" s="20" t="s">
        <v>27</v>
      </c>
      <c r="M1" s="48" t="s">
        <v>28</v>
      </c>
      <c r="N1" s="48" t="s">
        <v>29</v>
      </c>
      <c r="O1" s="48" t="s">
        <v>214</v>
      </c>
      <c r="P1" s="48" t="s">
        <v>215</v>
      </c>
      <c r="Q1" s="25" t="s">
        <v>217</v>
      </c>
      <c r="R1" s="25" t="s">
        <v>218</v>
      </c>
      <c r="S1" s="51" t="s">
        <v>113</v>
      </c>
      <c r="T1" s="49" t="s">
        <v>154</v>
      </c>
      <c r="U1" s="49" t="s">
        <v>155</v>
      </c>
      <c r="V1" s="25" t="s">
        <v>152</v>
      </c>
      <c r="W1" s="25" t="s">
        <v>153</v>
      </c>
      <c r="X1" s="20" t="s">
        <v>156</v>
      </c>
      <c r="Y1" s="20" t="s">
        <v>114</v>
      </c>
      <c r="Z1" s="20" t="s">
        <v>115</v>
      </c>
      <c r="AA1" s="20" t="s">
        <v>30</v>
      </c>
      <c r="AB1" s="33" t="s">
        <v>198</v>
      </c>
      <c r="AC1" s="61" t="s">
        <v>157</v>
      </c>
      <c r="AD1" s="58" t="s">
        <v>116</v>
      </c>
      <c r="AE1" s="61" t="s">
        <v>117</v>
      </c>
      <c r="AF1" s="58" t="s">
        <v>31</v>
      </c>
      <c r="AG1" s="26" t="s">
        <v>158</v>
      </c>
      <c r="AH1" s="26" t="s">
        <v>118</v>
      </c>
      <c r="AI1" s="26" t="s">
        <v>119</v>
      </c>
      <c r="AJ1" s="26" t="s">
        <v>62</v>
      </c>
      <c r="AK1" s="62" t="s">
        <v>159</v>
      </c>
      <c r="AL1" s="62" t="s">
        <v>120</v>
      </c>
      <c r="AM1" s="62" t="s">
        <v>121</v>
      </c>
      <c r="AN1" s="62" t="s">
        <v>63</v>
      </c>
      <c r="AO1" s="32" t="s">
        <v>160</v>
      </c>
      <c r="AP1" s="32" t="s">
        <v>122</v>
      </c>
      <c r="AQ1" s="32" t="s">
        <v>123</v>
      </c>
      <c r="AR1" s="32" t="s">
        <v>32</v>
      </c>
      <c r="AS1" s="34" t="s">
        <v>161</v>
      </c>
      <c r="AT1" s="34" t="s">
        <v>124</v>
      </c>
      <c r="AU1" s="34" t="s">
        <v>125</v>
      </c>
      <c r="AV1" s="34" t="s">
        <v>64</v>
      </c>
      <c r="AW1" s="25" t="s">
        <v>8</v>
      </c>
      <c r="AX1" s="25" t="s">
        <v>220</v>
      </c>
      <c r="AY1" s="25" t="s">
        <v>146</v>
      </c>
      <c r="AZ1" s="25" t="s">
        <v>166</v>
      </c>
    </row>
    <row r="2" spans="1:52" x14ac:dyDescent="0.25">
      <c r="A2" t="s">
        <v>59</v>
      </c>
      <c r="B2" t="s">
        <v>33</v>
      </c>
      <c r="C2" s="11">
        <v>365</v>
      </c>
      <c r="D2" s="11">
        <v>246</v>
      </c>
      <c r="E2" s="11">
        <v>4.3276E-3</v>
      </c>
      <c r="F2" s="6" t="s">
        <v>56</v>
      </c>
      <c r="G2" s="55" t="s">
        <v>60</v>
      </c>
      <c r="H2" s="17">
        <v>37000</v>
      </c>
      <c r="I2" s="17" t="s">
        <v>34</v>
      </c>
      <c r="J2" s="56" t="s">
        <v>35</v>
      </c>
      <c r="K2" s="17">
        <v>0.9</v>
      </c>
      <c r="L2" s="17">
        <v>0.05</v>
      </c>
      <c r="M2" s="19">
        <v>0.9</v>
      </c>
      <c r="N2" s="19">
        <v>0</v>
      </c>
      <c r="O2" s="19">
        <f>24*21</f>
        <v>504</v>
      </c>
      <c r="P2" s="19">
        <f>24*7*6</f>
        <v>1008</v>
      </c>
      <c r="Q2">
        <v>0.35</v>
      </c>
      <c r="R2" t="s">
        <v>219</v>
      </c>
      <c r="S2" s="52" t="s">
        <v>137</v>
      </c>
      <c r="T2" s="50">
        <v>3</v>
      </c>
      <c r="U2" s="50">
        <v>0</v>
      </c>
      <c r="V2">
        <f>60*15</f>
        <v>900</v>
      </c>
      <c r="W2">
        <f>ROUND(150*600/14.7,0)</f>
        <v>6122</v>
      </c>
      <c r="X2" s="17">
        <v>1</v>
      </c>
      <c r="Y2" s="17">
        <v>0</v>
      </c>
      <c r="Z2" s="17">
        <v>182.5</v>
      </c>
      <c r="AA2" s="17">
        <v>0.21634999999999999</v>
      </c>
      <c r="AB2" t="b">
        <v>1</v>
      </c>
      <c r="AC2" s="59">
        <v>1</v>
      </c>
      <c r="AD2" s="59">
        <v>0</v>
      </c>
      <c r="AE2" s="59">
        <v>182.5</v>
      </c>
      <c r="AF2" s="59">
        <v>8.3141000000000007E-2</v>
      </c>
      <c r="AG2" s="16">
        <v>1</v>
      </c>
      <c r="AH2" s="16">
        <v>0</v>
      </c>
      <c r="AI2" s="16">
        <v>182.5</v>
      </c>
      <c r="AJ2" s="16">
        <v>0.47815999999999997</v>
      </c>
      <c r="AK2" s="60">
        <v>1</v>
      </c>
      <c r="AL2" s="60">
        <v>0</v>
      </c>
      <c r="AM2" s="60">
        <v>121.66670000000001</v>
      </c>
      <c r="AN2" s="60">
        <v>2.6738E-3</v>
      </c>
      <c r="AO2" s="14">
        <v>1</v>
      </c>
      <c r="AP2" s="14">
        <v>0</v>
      </c>
      <c r="AQ2" s="14">
        <v>182.5</v>
      </c>
      <c r="AR2" s="14">
        <v>0.11268</v>
      </c>
      <c r="AS2" s="18">
        <v>1</v>
      </c>
      <c r="AT2" s="18">
        <v>0</v>
      </c>
      <c r="AU2" s="18">
        <v>121.66670000000001</v>
      </c>
      <c r="AV2" s="18">
        <v>2.7855000000000002E-3</v>
      </c>
      <c r="AW2" t="s">
        <v>73</v>
      </c>
      <c r="AX2" t="s">
        <v>199</v>
      </c>
      <c r="AY2" t="s">
        <v>199</v>
      </c>
      <c r="AZ2" t="s">
        <v>234</v>
      </c>
    </row>
    <row r="3" spans="1:52" x14ac:dyDescent="0.25">
      <c r="A3" t="s">
        <v>59</v>
      </c>
      <c r="B3" t="s">
        <v>36</v>
      </c>
      <c r="C3" s="11">
        <v>365</v>
      </c>
      <c r="D3" s="11">
        <v>246</v>
      </c>
      <c r="E3" s="11">
        <v>4.3276E-3</v>
      </c>
      <c r="F3" s="6" t="s">
        <v>57</v>
      </c>
      <c r="G3" s="55" t="s">
        <v>143</v>
      </c>
      <c r="H3" s="17">
        <v>37000</v>
      </c>
      <c r="I3" s="17" t="s">
        <v>139</v>
      </c>
      <c r="J3" s="56" t="s">
        <v>144</v>
      </c>
      <c r="K3" s="17">
        <v>0.9</v>
      </c>
      <c r="L3" s="17">
        <v>0.05</v>
      </c>
      <c r="M3" s="19">
        <v>0.9</v>
      </c>
      <c r="N3" s="19">
        <v>0.5</v>
      </c>
      <c r="O3" s="19">
        <f t="shared" ref="O3:O4" si="0">24*21</f>
        <v>504</v>
      </c>
      <c r="P3" s="19">
        <f t="shared" ref="P3:P4" si="1">24*7*6</f>
        <v>1008</v>
      </c>
      <c r="Q3">
        <v>0.35</v>
      </c>
      <c r="R3" t="s">
        <v>229</v>
      </c>
      <c r="S3" s="52" t="s">
        <v>56</v>
      </c>
      <c r="T3" s="50">
        <v>3</v>
      </c>
      <c r="U3" s="50">
        <v>450</v>
      </c>
      <c r="V3">
        <f t="shared" ref="V3:V4" si="2">60*15</f>
        <v>900</v>
      </c>
      <c r="W3">
        <f t="shared" ref="W3:W4" si="3">ROUND(150*600/14.7,0)</f>
        <v>6122</v>
      </c>
      <c r="X3" s="17">
        <v>1</v>
      </c>
      <c r="Y3" s="17">
        <v>0</v>
      </c>
      <c r="Z3" s="17">
        <v>182.5</v>
      </c>
      <c r="AA3" s="17">
        <v>0.21634999999999999</v>
      </c>
      <c r="AB3" t="b">
        <v>1</v>
      </c>
      <c r="AC3" s="59">
        <v>1</v>
      </c>
      <c r="AD3" s="59">
        <v>0</v>
      </c>
      <c r="AE3" s="59">
        <v>182.5</v>
      </c>
      <c r="AF3" s="59">
        <v>8.3141000000000007E-2</v>
      </c>
      <c r="AG3" s="16">
        <v>1</v>
      </c>
      <c r="AH3" s="16">
        <v>0</v>
      </c>
      <c r="AI3" s="16">
        <v>182.5</v>
      </c>
      <c r="AJ3" s="16">
        <v>0.47815999999999997</v>
      </c>
      <c r="AK3" s="60">
        <v>1</v>
      </c>
      <c r="AL3" s="60">
        <v>0</v>
      </c>
      <c r="AM3" s="60">
        <v>121.66670000000001</v>
      </c>
      <c r="AN3" s="60">
        <v>2.6738E-3</v>
      </c>
      <c r="AO3" s="14">
        <v>1</v>
      </c>
      <c r="AP3" s="14">
        <v>0</v>
      </c>
      <c r="AQ3" s="14">
        <v>182.5</v>
      </c>
      <c r="AR3" s="14">
        <v>0.11268</v>
      </c>
      <c r="AS3" s="18">
        <v>1</v>
      </c>
      <c r="AT3" s="18">
        <v>0</v>
      </c>
      <c r="AU3" s="18">
        <v>121.66670000000001</v>
      </c>
      <c r="AV3" s="18">
        <v>2.7855000000000002E-3</v>
      </c>
      <c r="AW3" t="s">
        <v>73</v>
      </c>
      <c r="AX3" t="s">
        <v>199</v>
      </c>
      <c r="AY3" t="s">
        <v>199</v>
      </c>
      <c r="AZ3" t="s">
        <v>234</v>
      </c>
    </row>
    <row r="4" spans="1:52" x14ac:dyDescent="0.25">
      <c r="A4" t="s">
        <v>59</v>
      </c>
      <c r="B4" t="s">
        <v>37</v>
      </c>
      <c r="C4" s="11">
        <v>365</v>
      </c>
      <c r="D4" s="11">
        <v>246</v>
      </c>
      <c r="E4" s="11">
        <v>4.3276E-3</v>
      </c>
      <c r="F4" s="6" t="s">
        <v>137</v>
      </c>
      <c r="G4" s="55" t="s">
        <v>61</v>
      </c>
      <c r="H4" s="17">
        <v>37000</v>
      </c>
      <c r="I4" s="17" t="s">
        <v>140</v>
      </c>
      <c r="J4" s="56" t="s">
        <v>35</v>
      </c>
      <c r="K4" s="17">
        <v>0.9</v>
      </c>
      <c r="L4" s="17">
        <v>0.05</v>
      </c>
      <c r="M4" s="19">
        <v>0.9</v>
      </c>
      <c r="N4" s="19">
        <v>0</v>
      </c>
      <c r="O4" s="19">
        <f t="shared" si="0"/>
        <v>504</v>
      </c>
      <c r="P4" s="19">
        <f t="shared" si="1"/>
        <v>1008</v>
      </c>
      <c r="Q4">
        <v>0.35</v>
      </c>
      <c r="R4" t="s">
        <v>230</v>
      </c>
      <c r="S4" s="52" t="s">
        <v>57</v>
      </c>
      <c r="T4" s="50">
        <v>3</v>
      </c>
      <c r="U4" s="50">
        <v>0</v>
      </c>
      <c r="V4">
        <f t="shared" si="2"/>
        <v>900</v>
      </c>
      <c r="W4">
        <f t="shared" si="3"/>
        <v>6122</v>
      </c>
      <c r="X4" s="17">
        <v>1</v>
      </c>
      <c r="Y4" s="17">
        <v>0</v>
      </c>
      <c r="Z4" s="17">
        <v>182.5</v>
      </c>
      <c r="AA4" s="17">
        <v>0.21634999999999999</v>
      </c>
      <c r="AB4" t="b">
        <v>1</v>
      </c>
      <c r="AC4" s="59">
        <v>1</v>
      </c>
      <c r="AD4" s="59">
        <v>0</v>
      </c>
      <c r="AE4" s="59">
        <v>182.5</v>
      </c>
      <c r="AF4" s="59">
        <v>8.3141000000000007E-2</v>
      </c>
      <c r="AG4" s="16">
        <v>1</v>
      </c>
      <c r="AH4" s="16">
        <v>0</v>
      </c>
      <c r="AI4" s="16">
        <v>182.5</v>
      </c>
      <c r="AJ4" s="16">
        <v>0.47815999999999997</v>
      </c>
      <c r="AK4" s="60">
        <v>1</v>
      </c>
      <c r="AL4" s="60">
        <v>0</v>
      </c>
      <c r="AM4" s="60">
        <v>121.66670000000001</v>
      </c>
      <c r="AN4" s="60">
        <v>2.6738E-3</v>
      </c>
      <c r="AO4" s="14">
        <v>1</v>
      </c>
      <c r="AP4" s="14">
        <v>0</v>
      </c>
      <c r="AQ4" s="14">
        <v>182.5</v>
      </c>
      <c r="AR4" s="14">
        <v>0.11268</v>
      </c>
      <c r="AS4" s="18">
        <v>1</v>
      </c>
      <c r="AT4" s="18">
        <v>0</v>
      </c>
      <c r="AU4" s="18">
        <v>121.66670000000001</v>
      </c>
      <c r="AV4" s="18">
        <v>2.7855000000000002E-3</v>
      </c>
      <c r="AW4" t="s">
        <v>73</v>
      </c>
      <c r="AX4" t="s">
        <v>199</v>
      </c>
      <c r="AY4" t="s">
        <v>199</v>
      </c>
      <c r="AZ4" t="s">
        <v>234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"/>
  <sheetViews>
    <sheetView topLeftCell="D1" workbookViewId="0">
      <selection activeCell="R11" sqref="R10:R11"/>
    </sheetView>
  </sheetViews>
  <sheetFormatPr defaultRowHeight="15" x14ac:dyDescent="0.25"/>
  <cols>
    <col min="1" max="1" width="9.28515625" bestFit="1" customWidth="1"/>
    <col min="2" max="2" width="10.7109375" bestFit="1" customWidth="1"/>
    <col min="3" max="5" width="11.5703125" customWidth="1"/>
    <col min="6" max="6" width="16.42578125" customWidth="1"/>
    <col min="7" max="16" width="11.5703125" customWidth="1"/>
    <col min="17" max="17" width="22" bestFit="1" customWidth="1"/>
    <col min="18" max="18" width="19.85546875" bestFit="1" customWidth="1"/>
  </cols>
  <sheetData>
    <row r="1" spans="1:19" s="31" customFormat="1" ht="60" x14ac:dyDescent="0.25">
      <c r="A1" s="25" t="s">
        <v>5</v>
      </c>
      <c r="B1" s="25" t="s">
        <v>9</v>
      </c>
      <c r="C1" s="29" t="s">
        <v>10</v>
      </c>
      <c r="D1" s="29" t="s">
        <v>108</v>
      </c>
      <c r="E1" s="29" t="s">
        <v>11</v>
      </c>
      <c r="F1" s="25" t="s">
        <v>38</v>
      </c>
      <c r="G1" s="25" t="s">
        <v>126</v>
      </c>
      <c r="H1" s="25" t="s">
        <v>127</v>
      </c>
      <c r="I1" s="25" t="s">
        <v>163</v>
      </c>
      <c r="J1" s="25" t="s">
        <v>39</v>
      </c>
      <c r="K1" s="25" t="s">
        <v>128</v>
      </c>
      <c r="L1" s="25" t="s">
        <v>129</v>
      </c>
      <c r="M1" s="25" t="s">
        <v>164</v>
      </c>
      <c r="N1" s="25" t="s">
        <v>130</v>
      </c>
      <c r="O1" s="25" t="s">
        <v>131</v>
      </c>
      <c r="P1" s="25" t="s">
        <v>165</v>
      </c>
      <c r="Q1" s="25" t="s">
        <v>8</v>
      </c>
      <c r="R1" s="25" t="s">
        <v>220</v>
      </c>
      <c r="S1" s="25" t="s">
        <v>166</v>
      </c>
    </row>
    <row r="2" spans="1:19" x14ac:dyDescent="0.25">
      <c r="A2" t="s">
        <v>66</v>
      </c>
      <c r="B2" t="s">
        <v>40</v>
      </c>
      <c r="C2" s="11">
        <v>0</v>
      </c>
      <c r="D2" s="11">
        <v>365</v>
      </c>
      <c r="E2" s="11">
        <v>1E-4</v>
      </c>
      <c r="F2">
        <v>0.75</v>
      </c>
      <c r="G2">
        <v>1</v>
      </c>
      <c r="H2">
        <v>7</v>
      </c>
      <c r="I2">
        <v>0.9</v>
      </c>
      <c r="J2">
        <v>0.25</v>
      </c>
      <c r="K2">
        <v>8.3000000000000004E-2</v>
      </c>
      <c r="L2">
        <v>2</v>
      </c>
      <c r="M2">
        <v>0</v>
      </c>
      <c r="N2">
        <v>90</v>
      </c>
      <c r="O2">
        <v>360</v>
      </c>
      <c r="P2">
        <v>0.98</v>
      </c>
      <c r="Q2" t="s">
        <v>74</v>
      </c>
      <c r="R2" t="s">
        <v>199</v>
      </c>
      <c r="S2" t="s">
        <v>235</v>
      </c>
    </row>
    <row r="3" spans="1:19" x14ac:dyDescent="0.25">
      <c r="A3" t="s">
        <v>66</v>
      </c>
      <c r="B3" t="s">
        <v>58</v>
      </c>
      <c r="C3" s="11">
        <v>0</v>
      </c>
      <c r="D3" s="11">
        <v>365</v>
      </c>
      <c r="E3" s="11">
        <v>1E-4</v>
      </c>
      <c r="F3">
        <v>0.75</v>
      </c>
      <c r="G3">
        <v>1</v>
      </c>
      <c r="H3">
        <v>7</v>
      </c>
      <c r="I3">
        <v>0.9</v>
      </c>
      <c r="J3">
        <v>0.25</v>
      </c>
      <c r="K3">
        <v>8.3000000000000004E-2</v>
      </c>
      <c r="L3">
        <v>2</v>
      </c>
      <c r="M3">
        <v>0</v>
      </c>
      <c r="N3">
        <v>90</v>
      </c>
      <c r="O3">
        <v>360</v>
      </c>
      <c r="P3">
        <v>0.98</v>
      </c>
      <c r="Q3" t="s">
        <v>74</v>
      </c>
      <c r="R3" t="s">
        <v>199</v>
      </c>
      <c r="S3" t="s">
        <v>235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2"/>
  <sheetViews>
    <sheetView topLeftCell="M1" workbookViewId="0">
      <selection activeCell="V22" sqref="V22"/>
    </sheetView>
  </sheetViews>
  <sheetFormatPr defaultRowHeight="15" x14ac:dyDescent="0.25"/>
  <cols>
    <col min="1" max="1" width="9" customWidth="1"/>
    <col min="2" max="2" width="19.140625" style="27" bestFit="1" customWidth="1"/>
    <col min="3" max="3" width="11.7109375" style="4" customWidth="1"/>
    <col min="4" max="4" width="15.140625" bestFit="1" customWidth="1"/>
    <col min="5" max="5" width="18.140625" customWidth="1"/>
    <col min="6" max="10" width="13.140625" customWidth="1"/>
    <col min="11" max="11" width="14.28515625" customWidth="1"/>
    <col min="12" max="12" width="12.7109375" customWidth="1"/>
    <col min="13" max="13" width="12" customWidth="1"/>
    <col min="14" max="16" width="13.140625" customWidth="1"/>
    <col min="17" max="19" width="15.42578125" customWidth="1"/>
    <col min="20" max="20" width="17.42578125" customWidth="1"/>
    <col min="21" max="22" width="15.42578125" customWidth="1"/>
    <col min="23" max="23" width="24.28515625" bestFit="1" customWidth="1"/>
    <col min="24" max="24" width="19.85546875" bestFit="1" customWidth="1"/>
  </cols>
  <sheetData>
    <row r="1" spans="1:25" s="2" customFormat="1" ht="60" x14ac:dyDescent="0.25">
      <c r="A1" s="25" t="s">
        <v>5</v>
      </c>
      <c r="B1" s="25" t="s">
        <v>9</v>
      </c>
      <c r="C1" s="25" t="s">
        <v>136</v>
      </c>
      <c r="D1" s="25" t="s">
        <v>196</v>
      </c>
      <c r="E1" s="28" t="s">
        <v>197</v>
      </c>
      <c r="F1" s="57" t="s">
        <v>10</v>
      </c>
      <c r="G1" s="29" t="s">
        <v>108</v>
      </c>
      <c r="H1" s="29" t="s">
        <v>11</v>
      </c>
      <c r="I1" s="63" t="s">
        <v>168</v>
      </c>
      <c r="J1" s="63" t="s">
        <v>169</v>
      </c>
      <c r="K1" s="20" t="s">
        <v>132</v>
      </c>
      <c r="L1" s="20" t="s">
        <v>133</v>
      </c>
      <c r="M1" s="20" t="s">
        <v>41</v>
      </c>
      <c r="N1" s="22" t="s">
        <v>134</v>
      </c>
      <c r="O1" s="22" t="s">
        <v>135</v>
      </c>
      <c r="P1" s="22" t="s">
        <v>42</v>
      </c>
      <c r="Q1" s="49" t="s">
        <v>175</v>
      </c>
      <c r="R1" s="49" t="s">
        <v>176</v>
      </c>
      <c r="S1" s="49" t="s">
        <v>177</v>
      </c>
      <c r="T1" s="49" t="s">
        <v>186</v>
      </c>
      <c r="U1" s="49" t="s">
        <v>184</v>
      </c>
      <c r="V1" s="49" t="s">
        <v>185</v>
      </c>
      <c r="W1" s="25" t="s">
        <v>8</v>
      </c>
      <c r="X1" s="25" t="s">
        <v>220</v>
      </c>
      <c r="Y1" s="25" t="s">
        <v>166</v>
      </c>
    </row>
    <row r="2" spans="1:25" x14ac:dyDescent="0.25">
      <c r="A2" t="s">
        <v>59</v>
      </c>
      <c r="B2" s="27" t="s">
        <v>98</v>
      </c>
      <c r="C2" s="4" t="s">
        <v>57</v>
      </c>
      <c r="D2" t="s">
        <v>44</v>
      </c>
      <c r="E2" t="s">
        <v>95</v>
      </c>
      <c r="F2" s="11">
        <v>2</v>
      </c>
      <c r="G2" s="11">
        <v>365</v>
      </c>
      <c r="H2" s="11">
        <v>4.3276E-3</v>
      </c>
      <c r="I2">
        <v>2</v>
      </c>
      <c r="J2">
        <v>1</v>
      </c>
      <c r="K2" s="17">
        <v>0</v>
      </c>
      <c r="L2" s="17">
        <v>365</v>
      </c>
      <c r="M2" s="17">
        <v>0.34166999999999997</v>
      </c>
      <c r="N2" s="21">
        <v>0</v>
      </c>
      <c r="O2" s="21">
        <v>365</v>
      </c>
      <c r="P2" s="21">
        <v>0.14960999999999999</v>
      </c>
      <c r="Q2" s="50">
        <v>15</v>
      </c>
      <c r="R2" s="50">
        <v>15</v>
      </c>
      <c r="S2" s="50">
        <v>0.1</v>
      </c>
      <c r="T2" s="71">
        <v>1000</v>
      </c>
      <c r="U2" s="71">
        <v>5000</v>
      </c>
      <c r="V2" s="71">
        <v>3000</v>
      </c>
      <c r="W2" t="s">
        <v>109</v>
      </c>
      <c r="X2" t="s">
        <v>228</v>
      </c>
      <c r="Y2" t="s">
        <v>236</v>
      </c>
    </row>
  </sheetData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18A2-4FEC-4604-A8B9-86A7661ADF3E}">
  <dimension ref="A1:D4"/>
  <sheetViews>
    <sheetView workbookViewId="0">
      <selection activeCell="D10" sqref="D10"/>
    </sheetView>
  </sheetViews>
  <sheetFormatPr defaultRowHeight="15" x14ac:dyDescent="0.25"/>
  <cols>
    <col min="1" max="1" width="20" bestFit="1" customWidth="1"/>
    <col min="2" max="2" width="9.5703125" bestFit="1" customWidth="1"/>
    <col min="3" max="3" width="18.28515625" bestFit="1" customWidth="1"/>
    <col min="4" max="4" width="11.5703125" bestFit="1" customWidth="1"/>
  </cols>
  <sheetData>
    <row r="1" spans="1:4" x14ac:dyDescent="0.25">
      <c r="A1" s="1" t="s">
        <v>8</v>
      </c>
      <c r="B1" s="1" t="s">
        <v>5</v>
      </c>
      <c r="C1" s="1" t="s">
        <v>9</v>
      </c>
      <c r="D1" s="8" t="s">
        <v>22</v>
      </c>
    </row>
    <row r="2" spans="1:4" x14ac:dyDescent="0.25">
      <c r="A2" t="s">
        <v>99</v>
      </c>
      <c r="B2" t="s">
        <v>59</v>
      </c>
      <c r="C2" t="s">
        <v>101</v>
      </c>
      <c r="D2" t="s">
        <v>83</v>
      </c>
    </row>
    <row r="3" spans="1:4" x14ac:dyDescent="0.25">
      <c r="A3" t="s">
        <v>99</v>
      </c>
      <c r="B3" t="s">
        <v>59</v>
      </c>
      <c r="C3" t="s">
        <v>102</v>
      </c>
      <c r="D3" t="s">
        <v>95</v>
      </c>
    </row>
    <row r="4" spans="1:4" x14ac:dyDescent="0.25">
      <c r="A4" t="s">
        <v>99</v>
      </c>
      <c r="B4" t="s">
        <v>59</v>
      </c>
      <c r="C4" t="s">
        <v>191</v>
      </c>
      <c r="D4" t="s">
        <v>151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235D1-5932-4EE0-8095-1B59AF2B206B}">
  <dimension ref="A1:C7"/>
  <sheetViews>
    <sheetView workbookViewId="0">
      <selection activeCell="C6" sqref="C6"/>
    </sheetView>
  </sheetViews>
  <sheetFormatPr defaultRowHeight="15" x14ac:dyDescent="0.25"/>
  <cols>
    <col min="1" max="1" width="10.5703125" bestFit="1" customWidth="1"/>
    <col min="2" max="2" width="9.5703125" bestFit="1" customWidth="1"/>
    <col min="3" max="3" width="32.42578125" bestFit="1" customWidth="1"/>
  </cols>
  <sheetData>
    <row r="1" spans="1:3" x14ac:dyDescent="0.25">
      <c r="A1" s="70" t="s">
        <v>8</v>
      </c>
      <c r="B1" s="25" t="s">
        <v>5</v>
      </c>
      <c r="C1" s="25" t="s">
        <v>9</v>
      </c>
    </row>
    <row r="2" spans="1:3" x14ac:dyDescent="0.25">
      <c r="A2" t="s">
        <v>181</v>
      </c>
      <c r="B2" t="s">
        <v>59</v>
      </c>
      <c r="C2" t="s">
        <v>187</v>
      </c>
    </row>
    <row r="3" spans="1:3" x14ac:dyDescent="0.25">
      <c r="A3" t="s">
        <v>181</v>
      </c>
      <c r="B3" t="s">
        <v>59</v>
      </c>
      <c r="C3" t="s">
        <v>188</v>
      </c>
    </row>
    <row r="4" spans="1:3" x14ac:dyDescent="0.25">
      <c r="A4" t="s">
        <v>181</v>
      </c>
      <c r="B4" t="s">
        <v>59</v>
      </c>
      <c r="C4" t="s">
        <v>189</v>
      </c>
    </row>
    <row r="5" spans="1:3" x14ac:dyDescent="0.25">
      <c r="A5" t="s">
        <v>181</v>
      </c>
      <c r="B5" t="s">
        <v>59</v>
      </c>
      <c r="C5" t="s">
        <v>190</v>
      </c>
    </row>
    <row r="6" spans="1:3" x14ac:dyDescent="0.25">
      <c r="A6" t="s">
        <v>181</v>
      </c>
      <c r="B6" t="s">
        <v>59</v>
      </c>
      <c r="C6" t="s">
        <v>182</v>
      </c>
    </row>
    <row r="7" spans="1:3" x14ac:dyDescent="0.25">
      <c r="A7" t="s">
        <v>181</v>
      </c>
      <c r="B7" t="s">
        <v>59</v>
      </c>
      <c r="C7" t="s">
        <v>183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8"/>
  <sheetViews>
    <sheetView workbookViewId="0">
      <selection activeCell="J23" sqref="J23"/>
    </sheetView>
  </sheetViews>
  <sheetFormatPr defaultRowHeight="15" x14ac:dyDescent="0.25"/>
  <cols>
    <col min="1" max="1" width="17.5703125" style="4" bestFit="1" customWidth="1"/>
    <col min="2" max="2" width="12.140625" style="4" customWidth="1"/>
    <col min="3" max="3" width="19.140625" style="4" bestFit="1" customWidth="1"/>
    <col min="4" max="4" width="12.28515625" style="4" customWidth="1"/>
    <col min="5" max="5" width="19.140625" style="4" bestFit="1" customWidth="1"/>
  </cols>
  <sheetData>
    <row r="1" spans="1:5" s="2" customFormat="1" x14ac:dyDescent="0.25">
      <c r="A1" s="5" t="s">
        <v>8</v>
      </c>
      <c r="B1" s="5" t="s">
        <v>45</v>
      </c>
      <c r="C1" s="5" t="s">
        <v>46</v>
      </c>
      <c r="D1" s="5" t="s">
        <v>47</v>
      </c>
      <c r="E1" s="5" t="s">
        <v>48</v>
      </c>
    </row>
    <row r="2" spans="1:5" x14ac:dyDescent="0.25">
      <c r="A2"/>
      <c r="B2"/>
      <c r="C2"/>
      <c r="D2"/>
      <c r="E2"/>
    </row>
    <row r="26" spans="1:5" x14ac:dyDescent="0.25">
      <c r="A26"/>
      <c r="C26"/>
      <c r="E26"/>
    </row>
    <row r="27" spans="1:5" x14ac:dyDescent="0.25">
      <c r="A27"/>
      <c r="C27"/>
      <c r="E27"/>
    </row>
    <row r="28" spans="1:5" x14ac:dyDescent="0.25">
      <c r="A28"/>
      <c r="C28"/>
      <c r="E28"/>
    </row>
  </sheetData>
  <phoneticPr fontId="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323A-AA8D-4192-A121-B75F269C58B7}">
  <dimension ref="A1:G61"/>
  <sheetViews>
    <sheetView topLeftCell="A25" workbookViewId="0">
      <selection activeCell="E46" sqref="E46"/>
    </sheetView>
  </sheetViews>
  <sheetFormatPr defaultRowHeight="15" x14ac:dyDescent="0.25"/>
  <cols>
    <col min="1" max="1" width="10.85546875" bestFit="1" customWidth="1"/>
    <col min="2" max="2" width="15.42578125" bestFit="1" customWidth="1"/>
    <col min="3" max="3" width="32.42578125" bestFit="1" customWidth="1"/>
    <col min="4" max="4" width="13.85546875" bestFit="1" customWidth="1"/>
    <col min="5" max="5" width="32.42578125" bestFit="1" customWidth="1"/>
    <col min="6" max="6" width="11.5703125" bestFit="1" customWidth="1"/>
    <col min="7" max="7" width="23.85546875" bestFit="1" customWidth="1"/>
  </cols>
  <sheetData>
    <row r="1" spans="1:7" x14ac:dyDescent="0.25">
      <c r="A1" s="1" t="s">
        <v>8</v>
      </c>
      <c r="B1" s="1" t="s">
        <v>76</v>
      </c>
      <c r="C1" s="1" t="s">
        <v>77</v>
      </c>
      <c r="D1" s="1" t="s">
        <v>78</v>
      </c>
      <c r="E1" s="1" t="s">
        <v>79</v>
      </c>
      <c r="F1" s="8" t="s">
        <v>80</v>
      </c>
      <c r="G1" s="8" t="s">
        <v>81</v>
      </c>
    </row>
    <row r="2" spans="1:7" x14ac:dyDescent="0.25">
      <c r="A2" t="s">
        <v>84</v>
      </c>
      <c r="B2" t="s">
        <v>65</v>
      </c>
      <c r="C2" t="s">
        <v>12</v>
      </c>
      <c r="D2" t="s">
        <v>59</v>
      </c>
      <c r="E2" t="s">
        <v>101</v>
      </c>
      <c r="F2" t="s">
        <v>83</v>
      </c>
      <c r="G2" s="9"/>
    </row>
    <row r="3" spans="1:7" x14ac:dyDescent="0.25">
      <c r="A3" t="s">
        <v>84</v>
      </c>
      <c r="B3" t="s">
        <v>65</v>
      </c>
      <c r="C3" t="s">
        <v>14</v>
      </c>
      <c r="D3" t="s">
        <v>59</v>
      </c>
      <c r="E3" t="s">
        <v>101</v>
      </c>
      <c r="F3" t="s">
        <v>83</v>
      </c>
      <c r="G3" s="9"/>
    </row>
    <row r="4" spans="1:7" x14ac:dyDescent="0.25">
      <c r="A4" t="s">
        <v>84</v>
      </c>
      <c r="B4" t="s">
        <v>65</v>
      </c>
      <c r="C4" t="s">
        <v>15</v>
      </c>
      <c r="D4" t="s">
        <v>59</v>
      </c>
      <c r="E4" t="s">
        <v>101</v>
      </c>
      <c r="F4" t="s">
        <v>83</v>
      </c>
    </row>
    <row r="5" spans="1:7" x14ac:dyDescent="0.25">
      <c r="A5" t="s">
        <v>84</v>
      </c>
      <c r="B5" t="s">
        <v>65</v>
      </c>
      <c r="C5" t="s">
        <v>16</v>
      </c>
      <c r="D5" t="s">
        <v>59</v>
      </c>
      <c r="E5" t="s">
        <v>101</v>
      </c>
      <c r="F5" t="s">
        <v>83</v>
      </c>
    </row>
    <row r="6" spans="1:7" x14ac:dyDescent="0.25">
      <c r="A6" t="s">
        <v>84</v>
      </c>
      <c r="B6" t="s">
        <v>65</v>
      </c>
      <c r="C6" t="s">
        <v>17</v>
      </c>
      <c r="D6" t="s">
        <v>59</v>
      </c>
      <c r="E6" t="s">
        <v>101</v>
      </c>
      <c r="F6" t="s">
        <v>83</v>
      </c>
    </row>
    <row r="7" spans="1:7" x14ac:dyDescent="0.25">
      <c r="A7" t="s">
        <v>84</v>
      </c>
      <c r="B7" t="s">
        <v>65</v>
      </c>
      <c r="C7" t="s">
        <v>18</v>
      </c>
      <c r="D7" t="s">
        <v>59</v>
      </c>
      <c r="E7" t="s">
        <v>101</v>
      </c>
      <c r="F7" t="s">
        <v>83</v>
      </c>
    </row>
    <row r="8" spans="1:7" x14ac:dyDescent="0.25">
      <c r="A8" t="s">
        <v>84</v>
      </c>
      <c r="B8" t="s">
        <v>65</v>
      </c>
      <c r="C8" t="s">
        <v>19</v>
      </c>
      <c r="D8" t="s">
        <v>59</v>
      </c>
      <c r="E8" t="s">
        <v>101</v>
      </c>
      <c r="F8" t="s">
        <v>83</v>
      </c>
    </row>
    <row r="9" spans="1:7" x14ac:dyDescent="0.25">
      <c r="A9" t="s">
        <v>84</v>
      </c>
      <c r="B9" t="s">
        <v>65</v>
      </c>
      <c r="C9" t="s">
        <v>20</v>
      </c>
      <c r="D9" t="s">
        <v>59</v>
      </c>
      <c r="E9" t="s">
        <v>101</v>
      </c>
      <c r="F9" t="s">
        <v>83</v>
      </c>
    </row>
    <row r="10" spans="1:7" x14ac:dyDescent="0.25">
      <c r="A10" t="s">
        <v>84</v>
      </c>
      <c r="B10" t="s">
        <v>65</v>
      </c>
      <c r="C10" t="s">
        <v>21</v>
      </c>
      <c r="D10" t="s">
        <v>59</v>
      </c>
      <c r="E10" t="s">
        <v>101</v>
      </c>
      <c r="F10" t="s">
        <v>83</v>
      </c>
    </row>
    <row r="11" spans="1:7" x14ac:dyDescent="0.25">
      <c r="A11" t="s">
        <v>84</v>
      </c>
      <c r="B11" t="s">
        <v>65</v>
      </c>
      <c r="C11" t="s">
        <v>12</v>
      </c>
      <c r="D11" t="s">
        <v>59</v>
      </c>
      <c r="E11" t="s">
        <v>102</v>
      </c>
      <c r="F11" t="s">
        <v>95</v>
      </c>
      <c r="G11" s="9"/>
    </row>
    <row r="12" spans="1:7" x14ac:dyDescent="0.25">
      <c r="A12" t="s">
        <v>84</v>
      </c>
      <c r="B12" t="s">
        <v>65</v>
      </c>
      <c r="C12" t="s">
        <v>14</v>
      </c>
      <c r="D12" t="s">
        <v>59</v>
      </c>
      <c r="E12" t="s">
        <v>102</v>
      </c>
      <c r="F12" t="s">
        <v>95</v>
      </c>
      <c r="G12" s="9"/>
    </row>
    <row r="13" spans="1:7" x14ac:dyDescent="0.25">
      <c r="A13" t="s">
        <v>84</v>
      </c>
      <c r="B13" t="s">
        <v>65</v>
      </c>
      <c r="C13" t="s">
        <v>15</v>
      </c>
      <c r="D13" t="s">
        <v>59</v>
      </c>
      <c r="E13" t="s">
        <v>102</v>
      </c>
      <c r="F13" t="s">
        <v>95</v>
      </c>
    </row>
    <row r="14" spans="1:7" x14ac:dyDescent="0.25">
      <c r="A14" t="s">
        <v>84</v>
      </c>
      <c r="B14" t="s">
        <v>65</v>
      </c>
      <c r="C14" t="s">
        <v>16</v>
      </c>
      <c r="D14" t="s">
        <v>59</v>
      </c>
      <c r="E14" t="s">
        <v>102</v>
      </c>
      <c r="F14" t="s">
        <v>95</v>
      </c>
    </row>
    <row r="15" spans="1:7" x14ac:dyDescent="0.25">
      <c r="A15" t="s">
        <v>84</v>
      </c>
      <c r="B15" t="s">
        <v>65</v>
      </c>
      <c r="C15" t="s">
        <v>17</v>
      </c>
      <c r="D15" t="s">
        <v>59</v>
      </c>
      <c r="E15" t="s">
        <v>102</v>
      </c>
      <c r="F15" t="s">
        <v>95</v>
      </c>
    </row>
    <row r="16" spans="1:7" x14ac:dyDescent="0.25">
      <c r="A16" t="s">
        <v>84</v>
      </c>
      <c r="B16" t="s">
        <v>65</v>
      </c>
      <c r="C16" t="s">
        <v>18</v>
      </c>
      <c r="D16" t="s">
        <v>59</v>
      </c>
      <c r="E16" t="s">
        <v>102</v>
      </c>
      <c r="F16" t="s">
        <v>95</v>
      </c>
    </row>
    <row r="17" spans="1:7" x14ac:dyDescent="0.25">
      <c r="A17" t="s">
        <v>84</v>
      </c>
      <c r="B17" t="s">
        <v>65</v>
      </c>
      <c r="C17" t="s">
        <v>19</v>
      </c>
      <c r="D17" t="s">
        <v>59</v>
      </c>
      <c r="E17" t="s">
        <v>102</v>
      </c>
      <c r="F17" t="s">
        <v>95</v>
      </c>
    </row>
    <row r="18" spans="1:7" x14ac:dyDescent="0.25">
      <c r="A18" t="s">
        <v>84</v>
      </c>
      <c r="B18" t="s">
        <v>65</v>
      </c>
      <c r="C18" t="s">
        <v>20</v>
      </c>
      <c r="D18" t="s">
        <v>59</v>
      </c>
      <c r="E18" t="s">
        <v>102</v>
      </c>
      <c r="F18" t="s">
        <v>95</v>
      </c>
    </row>
    <row r="19" spans="1:7" x14ac:dyDescent="0.25">
      <c r="A19" t="s">
        <v>84</v>
      </c>
      <c r="B19" t="s">
        <v>65</v>
      </c>
      <c r="C19" t="s">
        <v>21</v>
      </c>
      <c r="D19" t="s">
        <v>59</v>
      </c>
      <c r="E19" t="s">
        <v>102</v>
      </c>
      <c r="F19" t="s">
        <v>95</v>
      </c>
    </row>
    <row r="21" spans="1:7" x14ac:dyDescent="0.25">
      <c r="A21" t="s">
        <v>84</v>
      </c>
      <c r="B21" t="s">
        <v>59</v>
      </c>
      <c r="C21" t="s">
        <v>101</v>
      </c>
      <c r="D21" t="s">
        <v>59</v>
      </c>
      <c r="E21" t="s">
        <v>82</v>
      </c>
      <c r="F21" t="s">
        <v>83</v>
      </c>
    </row>
    <row r="22" spans="1:7" x14ac:dyDescent="0.25">
      <c r="A22" t="s">
        <v>84</v>
      </c>
      <c r="B22" t="s">
        <v>59</v>
      </c>
      <c r="C22" t="s">
        <v>102</v>
      </c>
      <c r="D22" t="s">
        <v>59</v>
      </c>
      <c r="E22" t="s">
        <v>82</v>
      </c>
      <c r="F22" t="s">
        <v>95</v>
      </c>
    </row>
    <row r="24" spans="1:7" x14ac:dyDescent="0.25">
      <c r="A24" t="s">
        <v>84</v>
      </c>
      <c r="B24" t="s">
        <v>59</v>
      </c>
      <c r="C24" t="s">
        <v>82</v>
      </c>
      <c r="D24" t="s">
        <v>59</v>
      </c>
      <c r="E24" t="s">
        <v>94</v>
      </c>
      <c r="F24" t="s">
        <v>83</v>
      </c>
      <c r="G24" t="s">
        <v>192</v>
      </c>
    </row>
    <row r="25" spans="1:7" x14ac:dyDescent="0.25">
      <c r="A25" t="s">
        <v>84</v>
      </c>
      <c r="B25" t="s">
        <v>59</v>
      </c>
      <c r="C25" t="s">
        <v>82</v>
      </c>
      <c r="D25" t="s">
        <v>59</v>
      </c>
      <c r="E25" t="s">
        <v>94</v>
      </c>
      <c r="F25" t="s">
        <v>95</v>
      </c>
      <c r="G25" t="s">
        <v>97</v>
      </c>
    </row>
    <row r="26" spans="1:7" x14ac:dyDescent="0.25">
      <c r="A26" t="s">
        <v>84</v>
      </c>
      <c r="B26" t="s">
        <v>59</v>
      </c>
      <c r="C26" t="s">
        <v>82</v>
      </c>
      <c r="D26" t="s">
        <v>59</v>
      </c>
      <c r="E26" t="s">
        <v>94</v>
      </c>
      <c r="F26" t="s">
        <v>151</v>
      </c>
      <c r="G26" t="s">
        <v>194</v>
      </c>
    </row>
    <row r="27" spans="1:7" x14ac:dyDescent="0.25">
      <c r="A27" t="s">
        <v>84</v>
      </c>
      <c r="B27" t="s">
        <v>59</v>
      </c>
      <c r="C27" t="s">
        <v>82</v>
      </c>
      <c r="D27" t="s">
        <v>59</v>
      </c>
      <c r="E27" t="s">
        <v>94</v>
      </c>
      <c r="F27" t="s">
        <v>151</v>
      </c>
      <c r="G27" t="s">
        <v>195</v>
      </c>
    </row>
    <row r="29" spans="1:7" x14ac:dyDescent="0.25">
      <c r="A29" t="s">
        <v>84</v>
      </c>
      <c r="B29" t="s">
        <v>59</v>
      </c>
      <c r="C29" t="s">
        <v>94</v>
      </c>
      <c r="D29" t="s">
        <v>59</v>
      </c>
      <c r="E29" t="s">
        <v>98</v>
      </c>
      <c r="F29" t="s">
        <v>95</v>
      </c>
      <c r="G29" t="s">
        <v>97</v>
      </c>
    </row>
    <row r="30" spans="1:7" x14ac:dyDescent="0.25">
      <c r="A30" t="s">
        <v>84</v>
      </c>
      <c r="B30" t="s">
        <v>59</v>
      </c>
      <c r="C30" t="s">
        <v>94</v>
      </c>
      <c r="D30" t="s">
        <v>59</v>
      </c>
      <c r="E30" t="s">
        <v>103</v>
      </c>
      <c r="F30" t="s">
        <v>83</v>
      </c>
      <c r="G30" t="s">
        <v>192</v>
      </c>
    </row>
    <row r="31" spans="1:7" x14ac:dyDescent="0.25">
      <c r="A31" t="s">
        <v>84</v>
      </c>
      <c r="B31" t="s">
        <v>59</v>
      </c>
      <c r="C31" t="s">
        <v>94</v>
      </c>
      <c r="D31" t="s">
        <v>59</v>
      </c>
      <c r="E31" t="s">
        <v>103</v>
      </c>
      <c r="F31" t="s">
        <v>151</v>
      </c>
      <c r="G31" t="s">
        <v>193</v>
      </c>
    </row>
    <row r="32" spans="1:7" x14ac:dyDescent="0.25">
      <c r="A32" t="s">
        <v>84</v>
      </c>
      <c r="B32" t="s">
        <v>59</v>
      </c>
      <c r="C32" t="s">
        <v>94</v>
      </c>
      <c r="D32" t="s">
        <v>59</v>
      </c>
      <c r="E32" t="s">
        <v>103</v>
      </c>
      <c r="F32" t="s">
        <v>151</v>
      </c>
      <c r="G32" t="s">
        <v>194</v>
      </c>
    </row>
    <row r="33" spans="1:7" x14ac:dyDescent="0.25">
      <c r="A33" t="s">
        <v>84</v>
      </c>
      <c r="B33" t="s">
        <v>59</v>
      </c>
      <c r="C33" t="s">
        <v>94</v>
      </c>
      <c r="D33" t="s">
        <v>59</v>
      </c>
      <c r="E33" t="s">
        <v>103</v>
      </c>
      <c r="F33" t="s">
        <v>151</v>
      </c>
      <c r="G33" t="s">
        <v>195</v>
      </c>
    </row>
    <row r="35" spans="1:7" x14ac:dyDescent="0.25">
      <c r="A35" t="s">
        <v>84</v>
      </c>
      <c r="B35" t="s">
        <v>59</v>
      </c>
      <c r="C35" t="s">
        <v>98</v>
      </c>
      <c r="D35" t="s">
        <v>59</v>
      </c>
      <c r="E35" t="s">
        <v>106</v>
      </c>
      <c r="F35" t="s">
        <v>151</v>
      </c>
      <c r="G35" t="s">
        <v>227</v>
      </c>
    </row>
    <row r="36" spans="1:7" x14ac:dyDescent="0.25">
      <c r="A36" t="s">
        <v>84</v>
      </c>
      <c r="B36" t="s">
        <v>59</v>
      </c>
      <c r="C36" t="s">
        <v>103</v>
      </c>
      <c r="D36" t="s">
        <v>59</v>
      </c>
      <c r="E36" t="s">
        <v>105</v>
      </c>
      <c r="F36" t="s">
        <v>151</v>
      </c>
      <c r="G36" t="s">
        <v>225</v>
      </c>
    </row>
    <row r="37" spans="1:7" x14ac:dyDescent="0.25">
      <c r="A37" t="s">
        <v>84</v>
      </c>
      <c r="B37" t="s">
        <v>59</v>
      </c>
      <c r="C37" t="s">
        <v>103</v>
      </c>
      <c r="D37" t="s">
        <v>59</v>
      </c>
      <c r="E37" t="s">
        <v>105</v>
      </c>
      <c r="F37" t="s">
        <v>151</v>
      </c>
      <c r="G37" t="s">
        <v>226</v>
      </c>
    </row>
    <row r="39" spans="1:7" x14ac:dyDescent="0.25">
      <c r="A39" t="s">
        <v>84</v>
      </c>
      <c r="B39" t="s">
        <v>59</v>
      </c>
      <c r="C39" t="s">
        <v>105</v>
      </c>
      <c r="D39" t="s">
        <v>66</v>
      </c>
      <c r="E39" t="s">
        <v>40</v>
      </c>
      <c r="F39" t="s">
        <v>151</v>
      </c>
      <c r="G39" t="s">
        <v>107</v>
      </c>
    </row>
    <row r="41" spans="1:7" x14ac:dyDescent="0.25">
      <c r="A41" t="s">
        <v>84</v>
      </c>
      <c r="B41" t="s">
        <v>59</v>
      </c>
      <c r="C41" t="s">
        <v>23</v>
      </c>
      <c r="D41" t="s">
        <v>66</v>
      </c>
      <c r="E41" t="s">
        <v>58</v>
      </c>
      <c r="F41" t="s">
        <v>151</v>
      </c>
      <c r="G41" t="s">
        <v>150</v>
      </c>
    </row>
    <row r="42" spans="1:7" x14ac:dyDescent="0.25">
      <c r="A42" t="s">
        <v>84</v>
      </c>
      <c r="B42" t="s">
        <v>59</v>
      </c>
      <c r="C42" t="s">
        <v>24</v>
      </c>
      <c r="D42" t="s">
        <v>66</v>
      </c>
      <c r="E42" t="s">
        <v>58</v>
      </c>
      <c r="F42" t="s">
        <v>151</v>
      </c>
      <c r="G42" t="s">
        <v>150</v>
      </c>
    </row>
    <row r="43" spans="1:7" x14ac:dyDescent="0.25">
      <c r="A43" t="s">
        <v>84</v>
      </c>
      <c r="B43" t="s">
        <v>59</v>
      </c>
      <c r="C43" t="s">
        <v>25</v>
      </c>
      <c r="D43" t="s">
        <v>66</v>
      </c>
      <c r="E43" t="s">
        <v>58</v>
      </c>
      <c r="F43" t="s">
        <v>151</v>
      </c>
      <c r="G43" t="s">
        <v>150</v>
      </c>
    </row>
    <row r="45" spans="1:7" x14ac:dyDescent="0.25">
      <c r="A45" t="s">
        <v>84</v>
      </c>
      <c r="B45" t="s">
        <v>59</v>
      </c>
      <c r="C45" t="s">
        <v>33</v>
      </c>
      <c r="D45" t="s">
        <v>66</v>
      </c>
      <c r="E45" t="s">
        <v>58</v>
      </c>
      <c r="F45" t="s">
        <v>151</v>
      </c>
    </row>
    <row r="46" spans="1:7" x14ac:dyDescent="0.25">
      <c r="A46" t="s">
        <v>84</v>
      </c>
      <c r="B46" t="s">
        <v>59</v>
      </c>
      <c r="C46" t="s">
        <v>33</v>
      </c>
      <c r="D46" t="s">
        <v>66</v>
      </c>
      <c r="E46" t="s">
        <v>58</v>
      </c>
      <c r="F46" t="s">
        <v>151</v>
      </c>
    </row>
    <row r="47" spans="1:7" x14ac:dyDescent="0.25">
      <c r="A47" t="s">
        <v>84</v>
      </c>
      <c r="B47" t="s">
        <v>59</v>
      </c>
      <c r="C47" t="s">
        <v>33</v>
      </c>
      <c r="D47" t="s">
        <v>66</v>
      </c>
      <c r="E47" t="s">
        <v>58</v>
      </c>
      <c r="F47" t="s">
        <v>151</v>
      </c>
    </row>
    <row r="49" spans="1:6" x14ac:dyDescent="0.25">
      <c r="A49" t="s">
        <v>84</v>
      </c>
      <c r="B49" t="s">
        <v>59</v>
      </c>
      <c r="C49" t="s">
        <v>82</v>
      </c>
      <c r="D49" t="s">
        <v>59</v>
      </c>
      <c r="E49" t="s">
        <v>187</v>
      </c>
      <c r="F49" t="s">
        <v>151</v>
      </c>
    </row>
    <row r="50" spans="1:6" x14ac:dyDescent="0.25">
      <c r="A50" t="s">
        <v>84</v>
      </c>
      <c r="B50" t="s">
        <v>59</v>
      </c>
      <c r="C50" t="s">
        <v>94</v>
      </c>
      <c r="D50" t="s">
        <v>59</v>
      </c>
      <c r="E50" t="s">
        <v>188</v>
      </c>
      <c r="F50" t="s">
        <v>151</v>
      </c>
    </row>
    <row r="51" spans="1:6" x14ac:dyDescent="0.25">
      <c r="A51" t="s">
        <v>84</v>
      </c>
      <c r="B51" t="s">
        <v>59</v>
      </c>
      <c r="C51" t="s">
        <v>105</v>
      </c>
      <c r="D51" t="s">
        <v>59</v>
      </c>
      <c r="E51" t="s">
        <v>189</v>
      </c>
      <c r="F51" t="s">
        <v>151</v>
      </c>
    </row>
    <row r="52" spans="1:6" x14ac:dyDescent="0.25">
      <c r="A52" t="s">
        <v>84</v>
      </c>
      <c r="B52" t="s">
        <v>59</v>
      </c>
      <c r="C52" t="s">
        <v>106</v>
      </c>
      <c r="D52" t="s">
        <v>59</v>
      </c>
      <c r="E52" t="s">
        <v>190</v>
      </c>
      <c r="F52" t="s">
        <v>151</v>
      </c>
    </row>
    <row r="54" spans="1:6" x14ac:dyDescent="0.25">
      <c r="A54" t="s">
        <v>84</v>
      </c>
      <c r="B54" t="s">
        <v>59</v>
      </c>
      <c r="C54" t="s">
        <v>187</v>
      </c>
      <c r="D54" t="s">
        <v>59</v>
      </c>
      <c r="E54" t="s">
        <v>182</v>
      </c>
      <c r="F54" t="s">
        <v>151</v>
      </c>
    </row>
    <row r="55" spans="1:6" x14ac:dyDescent="0.25">
      <c r="A55" t="s">
        <v>84</v>
      </c>
      <c r="B55" t="s">
        <v>59</v>
      </c>
      <c r="C55" t="s">
        <v>188</v>
      </c>
      <c r="D55" t="s">
        <v>59</v>
      </c>
      <c r="E55" t="s">
        <v>182</v>
      </c>
      <c r="F55" t="s">
        <v>151</v>
      </c>
    </row>
    <row r="56" spans="1:6" x14ac:dyDescent="0.25">
      <c r="A56" t="s">
        <v>84</v>
      </c>
      <c r="B56" t="s">
        <v>59</v>
      </c>
      <c r="C56" t="s">
        <v>189</v>
      </c>
      <c r="D56" t="s">
        <v>59</v>
      </c>
      <c r="E56" t="s">
        <v>182</v>
      </c>
      <c r="F56" t="s">
        <v>151</v>
      </c>
    </row>
    <row r="57" spans="1:6" x14ac:dyDescent="0.25">
      <c r="A57" t="s">
        <v>84</v>
      </c>
      <c r="B57" t="s">
        <v>59</v>
      </c>
      <c r="C57" t="s">
        <v>190</v>
      </c>
      <c r="D57" t="s">
        <v>59</v>
      </c>
      <c r="E57" t="s">
        <v>182</v>
      </c>
      <c r="F57" t="s">
        <v>151</v>
      </c>
    </row>
    <row r="59" spans="1:6" x14ac:dyDescent="0.25">
      <c r="A59" t="s">
        <v>84</v>
      </c>
      <c r="B59" t="s">
        <v>59</v>
      </c>
      <c r="C59" t="s">
        <v>23</v>
      </c>
      <c r="D59" t="s">
        <v>59</v>
      </c>
      <c r="E59" t="s">
        <v>183</v>
      </c>
      <c r="F59" t="s">
        <v>151</v>
      </c>
    </row>
    <row r="60" spans="1:6" x14ac:dyDescent="0.25">
      <c r="A60" t="s">
        <v>84</v>
      </c>
      <c r="B60" t="s">
        <v>59</v>
      </c>
      <c r="C60" t="s">
        <v>24</v>
      </c>
      <c r="D60" t="s">
        <v>59</v>
      </c>
      <c r="E60" t="s">
        <v>183</v>
      </c>
      <c r="F60" t="s">
        <v>151</v>
      </c>
    </row>
    <row r="61" spans="1:6" x14ac:dyDescent="0.25">
      <c r="A61" t="s">
        <v>84</v>
      </c>
      <c r="B61" t="s">
        <v>59</v>
      </c>
      <c r="C61" t="s">
        <v>25</v>
      </c>
      <c r="D61" t="s">
        <v>59</v>
      </c>
      <c r="E61" t="s">
        <v>183</v>
      </c>
      <c r="F61" t="s">
        <v>151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BD6E-76BA-47A4-8123-097FFE5BFF7D}">
  <dimension ref="A1:C2"/>
  <sheetViews>
    <sheetView workbookViewId="0">
      <selection activeCell="P7" sqref="P7"/>
    </sheetView>
  </sheetViews>
  <sheetFormatPr defaultRowHeight="15" x14ac:dyDescent="0.25"/>
  <cols>
    <col min="1" max="1" width="19.28515625" bestFit="1" customWidth="1"/>
    <col min="2" max="2" width="10.28515625" bestFit="1" customWidth="1"/>
    <col min="3" max="3" width="11.140625" bestFit="1" customWidth="1"/>
  </cols>
  <sheetData>
    <row r="1" spans="1:3" x14ac:dyDescent="0.25">
      <c r="A1" t="s">
        <v>8</v>
      </c>
      <c r="B1" t="s">
        <v>86</v>
      </c>
      <c r="C1" t="s">
        <v>87</v>
      </c>
    </row>
    <row r="2" spans="1:3" x14ac:dyDescent="0.25">
      <c r="A2" t="s">
        <v>89</v>
      </c>
      <c r="B2" t="s">
        <v>88</v>
      </c>
      <c r="C2">
        <v>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5"/>
  <sheetViews>
    <sheetView workbookViewId="0">
      <selection activeCell="L26" sqref="L26"/>
    </sheetView>
  </sheetViews>
  <sheetFormatPr defaultRowHeight="15" x14ac:dyDescent="0.25"/>
  <cols>
    <col min="1" max="2" width="19.42578125" bestFit="1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51</v>
      </c>
    </row>
    <row r="3" spans="1:2" x14ac:dyDescent="0.25">
      <c r="A3" t="s">
        <v>52</v>
      </c>
      <c r="B3" t="s">
        <v>52</v>
      </c>
    </row>
    <row r="4" spans="1:2" x14ac:dyDescent="0.25">
      <c r="A4" t="s">
        <v>100</v>
      </c>
      <c r="B4" t="s">
        <v>100</v>
      </c>
    </row>
    <row r="5" spans="1:2" x14ac:dyDescent="0.25">
      <c r="A5" t="s">
        <v>85</v>
      </c>
      <c r="B5" t="s">
        <v>85</v>
      </c>
    </row>
    <row r="6" spans="1:2" x14ac:dyDescent="0.25">
      <c r="A6" t="s">
        <v>53</v>
      </c>
      <c r="B6" t="s">
        <v>53</v>
      </c>
    </row>
    <row r="7" spans="1:2" x14ac:dyDescent="0.25">
      <c r="A7" t="s">
        <v>54</v>
      </c>
      <c r="B7" t="s">
        <v>54</v>
      </c>
    </row>
    <row r="8" spans="1:2" x14ac:dyDescent="0.25">
      <c r="A8" t="s">
        <v>213</v>
      </c>
      <c r="B8" t="s">
        <v>213</v>
      </c>
    </row>
    <row r="9" spans="1:2" x14ac:dyDescent="0.25">
      <c r="A9" t="s">
        <v>43</v>
      </c>
      <c r="B9" t="s">
        <v>43</v>
      </c>
    </row>
    <row r="10" spans="1:2" x14ac:dyDescent="0.25">
      <c r="A10" t="s">
        <v>148</v>
      </c>
      <c r="B10" t="s">
        <v>148</v>
      </c>
    </row>
    <row r="11" spans="1:2" x14ac:dyDescent="0.25">
      <c r="A11" t="s">
        <v>149</v>
      </c>
      <c r="B11" t="s">
        <v>149</v>
      </c>
    </row>
    <row r="12" spans="1:2" x14ac:dyDescent="0.25">
      <c r="A12" t="s">
        <v>180</v>
      </c>
      <c r="B12" t="s">
        <v>180</v>
      </c>
    </row>
    <row r="13" spans="1:2" x14ac:dyDescent="0.25">
      <c r="A13" t="s">
        <v>55</v>
      </c>
      <c r="B13" t="s">
        <v>55</v>
      </c>
    </row>
    <row r="14" spans="1:2" x14ac:dyDescent="0.25">
      <c r="A14" t="s">
        <v>147</v>
      </c>
      <c r="B14" t="s">
        <v>147</v>
      </c>
    </row>
    <row r="15" spans="1:2" x14ac:dyDescent="0.25">
      <c r="A15" t="s">
        <v>75</v>
      </c>
      <c r="B15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 Simulation Parameters</vt:lpstr>
      <vt:lpstr>Facilities</vt:lpstr>
      <vt:lpstr>Wells</vt:lpstr>
      <vt:lpstr>Separators</vt:lpstr>
      <vt:lpstr>Dehydrators</vt:lpstr>
      <vt:lpstr>Misc</vt:lpstr>
      <vt:lpstr>VRUs</vt:lpstr>
      <vt:lpstr>Compressors</vt:lpstr>
      <vt:lpstr>Flares</vt:lpstr>
      <vt:lpstr>Tank Battery</vt:lpstr>
      <vt:lpstr>Common Headers</vt:lpstr>
      <vt:lpstr>Probes</vt:lpstr>
      <vt:lpstr>Links</vt:lpstr>
      <vt:lpstr>FFLinks</vt:lpstr>
      <vt:lpstr>Debug</vt:lpstr>
      <vt:lpstr>Master 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PRAJAY</cp:lastModifiedBy>
  <dcterms:created xsi:type="dcterms:W3CDTF">2021-02-18T15:05:05Z</dcterms:created>
  <dcterms:modified xsi:type="dcterms:W3CDTF">2022-10-31T01:04:09Z</dcterms:modified>
</cp:coreProperties>
</file>