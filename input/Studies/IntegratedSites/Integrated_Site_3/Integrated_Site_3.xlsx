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death\METEC_MEET\MEET_2.0_0007_P\input\Studies\IntegratedSites\Integrated_Site_3\"/>
    </mc:Choice>
  </mc:AlternateContent>
  <xr:revisionPtr revIDLastSave="0" documentId="13_ncr:1_{503AE291-8F3A-4C1C-AFFA-6F4A00D84330}" xr6:coauthVersionLast="47" xr6:coauthVersionMax="47" xr10:uidLastSave="{00000000-0000-0000-0000-000000000000}"/>
  <bookViews>
    <workbookView xWindow="-120" yWindow="-120" windowWidth="29040" windowHeight="15840" tabRatio="949" xr2:uid="{00000000-000D-0000-FFFF-FFFF00000000}"/>
  </bookViews>
  <sheets>
    <sheet name="Global Simulation Parameters" sheetId="1" r:id="rId1"/>
    <sheet name="Facilities" sheetId="2" r:id="rId2"/>
    <sheet name="Wells" sheetId="3" r:id="rId3"/>
    <sheet name="ThreePhaseSeparators" sheetId="5" r:id="rId4"/>
    <sheet name="TwoPhaseSeparators" sheetId="4" r:id="rId5"/>
    <sheet name="Dehydrators" sheetId="6" r:id="rId6"/>
    <sheet name="Compressors" sheetId="7" r:id="rId7"/>
    <sheet name="Misc" sheetId="8" r:id="rId8"/>
    <sheet name="YardPipingSplit" sheetId="15" r:id="rId9"/>
    <sheet name="Tank Battery" sheetId="11" r:id="rId10"/>
    <sheet name="Flares" sheetId="9" r:id="rId11"/>
    <sheet name="Station" sheetId="10" r:id="rId12"/>
    <sheet name="VRUs" sheetId="12" r:id="rId13"/>
    <sheet name="Links" sheetId="13" r:id="rId14"/>
    <sheet name="FFLinks" sheetId="16" r:id="rId15"/>
    <sheet name="Master Equipment" sheetId="1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1" i="3" l="1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U5" i="12" l="1"/>
  <c r="T5" i="12"/>
  <c r="P5" i="12"/>
  <c r="O5" i="12"/>
  <c r="U4" i="12"/>
  <c r="T4" i="12"/>
  <c r="P4" i="12"/>
  <c r="O4" i="12"/>
  <c r="U3" i="12"/>
  <c r="T3" i="12"/>
  <c r="P3" i="12"/>
  <c r="O3" i="12"/>
  <c r="U2" i="12"/>
  <c r="T2" i="12"/>
  <c r="P2" i="12"/>
  <c r="O2" i="12"/>
  <c r="B3" i="8"/>
  <c r="B4" i="8"/>
  <c r="B5" i="8"/>
  <c r="B6" i="8"/>
  <c r="B7" i="8"/>
  <c r="B2" i="8"/>
  <c r="I7" i="15"/>
  <c r="I8" i="15"/>
  <c r="F12" i="15"/>
  <c r="I9" i="15" s="1"/>
  <c r="I6" i="15" l="1"/>
  <c r="I11" i="15"/>
  <c r="I10" i="15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2" i="3"/>
  <c r="U3" i="7"/>
  <c r="U4" i="7"/>
  <c r="U5" i="7"/>
  <c r="U2" i="7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2" i="3"/>
  <c r="T3" i="7"/>
  <c r="T4" i="7"/>
  <c r="T5" i="7"/>
  <c r="T2" i="7"/>
  <c r="P3" i="7"/>
  <c r="Q3" i="7"/>
  <c r="P4" i="7"/>
  <c r="Q4" i="7"/>
  <c r="P5" i="7"/>
  <c r="Q5" i="7"/>
  <c r="Q2" i="7"/>
  <c r="P2" i="7"/>
</calcChain>
</file>

<file path=xl/sharedStrings.xml><?xml version="1.0" encoding="utf-8"?>
<sst xmlns="http://schemas.openxmlformats.org/spreadsheetml/2006/main" count="2450" uniqueCount="412">
  <si>
    <t>Simulation Start Date</t>
  </si>
  <si>
    <t>1/1/2021</t>
  </si>
  <si>
    <t>Simulation Duration [Days]</t>
  </si>
  <si>
    <t>Number of Monte Carlo Iterations</t>
  </si>
  <si>
    <t>Facility ID</t>
  </si>
  <si>
    <t>Latitude</t>
  </si>
  <si>
    <t>Longitude</t>
  </si>
  <si>
    <t>Component Type</t>
  </si>
  <si>
    <t>Production Gas Composition</t>
  </si>
  <si>
    <t>Model ID</t>
  </si>
  <si>
    <t>Unit ID</t>
  </si>
  <si>
    <t>Total Leaks</t>
  </si>
  <si>
    <t>Emission Points</t>
  </si>
  <si>
    <t>Component Count</t>
  </si>
  <si>
    <t>Component pLeak</t>
  </si>
  <si>
    <t>Topology Index</t>
  </si>
  <si>
    <t>well_1</t>
  </si>
  <si>
    <t>Well</t>
  </si>
  <si>
    <t>well_2</t>
  </si>
  <si>
    <t>well_3</t>
  </si>
  <si>
    <t>well_4</t>
  </si>
  <si>
    <t>well_5</t>
  </si>
  <si>
    <t>well_6</t>
  </si>
  <si>
    <t>well_7</t>
  </si>
  <si>
    <t>well_8</t>
  </si>
  <si>
    <t>well_9</t>
  </si>
  <si>
    <t>well_10</t>
  </si>
  <si>
    <t>well_11</t>
  </si>
  <si>
    <t>well_12</t>
  </si>
  <si>
    <t>well_13</t>
  </si>
  <si>
    <t>well_14</t>
  </si>
  <si>
    <t>well_15</t>
  </si>
  <si>
    <t>well_16</t>
  </si>
  <si>
    <t>well_17</t>
  </si>
  <si>
    <t>well_18</t>
  </si>
  <si>
    <t>well_19</t>
  </si>
  <si>
    <t>well_20</t>
  </si>
  <si>
    <t>well_21</t>
  </si>
  <si>
    <t>well_22</t>
  </si>
  <si>
    <t>well_23</t>
  </si>
  <si>
    <t>well_24</t>
  </si>
  <si>
    <t>well_25</t>
  </si>
  <si>
    <t>well_26</t>
  </si>
  <si>
    <t>well_27</t>
  </si>
  <si>
    <t>well_28</t>
  </si>
  <si>
    <t>well_29</t>
  </si>
  <si>
    <t>well_30</t>
  </si>
  <si>
    <t>well_31</t>
  </si>
  <si>
    <t>well_32</t>
  </si>
  <si>
    <t>well_33</t>
  </si>
  <si>
    <t>well_34</t>
  </si>
  <si>
    <t>well_35</t>
  </si>
  <si>
    <t>well_36</t>
  </si>
  <si>
    <t>well_37</t>
  </si>
  <si>
    <t>well_38</t>
  </si>
  <si>
    <t>well_39</t>
  </si>
  <si>
    <t>well_40</t>
  </si>
  <si>
    <t>well_41</t>
  </si>
  <si>
    <t>well_42</t>
  </si>
  <si>
    <t>well_43</t>
  </si>
  <si>
    <t>well_44</t>
  </si>
  <si>
    <t>well_45</t>
  </si>
  <si>
    <t>well_46</t>
  </si>
  <si>
    <t>well_47</t>
  </si>
  <si>
    <t>well_48</t>
  </si>
  <si>
    <t>well_49</t>
  </si>
  <si>
    <t>well_50</t>
  </si>
  <si>
    <t>well_51</t>
  </si>
  <si>
    <t>well_52</t>
  </si>
  <si>
    <t>well_53</t>
  </si>
  <si>
    <t>well_54</t>
  </si>
  <si>
    <t>well_55</t>
  </si>
  <si>
    <t>well_56</t>
  </si>
  <si>
    <t>well_57</t>
  </si>
  <si>
    <t>well_58</t>
  </si>
  <si>
    <t>well_59</t>
  </si>
  <si>
    <t>well_60</t>
  </si>
  <si>
    <t>well_61</t>
  </si>
  <si>
    <t>well_62</t>
  </si>
  <si>
    <t>well_63</t>
  </si>
  <si>
    <t>well_64</t>
  </si>
  <si>
    <t>well_65</t>
  </si>
  <si>
    <t>well_66</t>
  </si>
  <si>
    <t>well_67</t>
  </si>
  <si>
    <t>well_68</t>
  </si>
  <si>
    <t>well_69</t>
  </si>
  <si>
    <t>well_70</t>
  </si>
  <si>
    <t>Dump Volume</t>
  </si>
  <si>
    <t>dehy_1</t>
  </si>
  <si>
    <t>dehy_2</t>
  </si>
  <si>
    <t>dehy_3</t>
  </si>
  <si>
    <t>Average Loading</t>
  </si>
  <si>
    <t>Std Loading</t>
  </si>
  <si>
    <t>Operating Fraction</t>
  </si>
  <si>
    <t>NOP Fraction of NOP/NOD</t>
  </si>
  <si>
    <t>Blowdown Vent pLeak</t>
  </si>
  <si>
    <t>Common Single-Unit Vent pLeak</t>
  </si>
  <si>
    <t>Compressor Starter Vent pLeak</t>
  </si>
  <si>
    <t>comp_1</t>
  </si>
  <si>
    <t>Turbine</t>
  </si>
  <si>
    <t>Centrifugal</t>
  </si>
  <si>
    <t>comp_2</t>
  </si>
  <si>
    <t>comp_3</t>
  </si>
  <si>
    <t>comp_4</t>
  </si>
  <si>
    <t>pMalfunction</t>
  </si>
  <si>
    <t>pUnlit</t>
  </si>
  <si>
    <t>Common Station Vent pLeak</t>
  </si>
  <si>
    <t>Static Components (Large Emitter) pLeak</t>
  </si>
  <si>
    <t>Station Vent (Large Emitter) pLeak</t>
  </si>
  <si>
    <t>Tank Thief Hatch pLeak</t>
  </si>
  <si>
    <t>Tank Battery Vent pLeak</t>
  </si>
  <si>
    <t>Tank_Battery_WATER</t>
  </si>
  <si>
    <t>Tank Battery</t>
  </si>
  <si>
    <t>Water Tank</t>
  </si>
  <si>
    <t>Tank_Battery_OIL</t>
  </si>
  <si>
    <t>Condensate Tank</t>
  </si>
  <si>
    <t>vru_WATER</t>
  </si>
  <si>
    <t>vru_OIL</t>
  </si>
  <si>
    <t>ME1 Facility</t>
  </si>
  <si>
    <t>ME1 Unit</t>
  </si>
  <si>
    <t>ME2 Facility</t>
  </si>
  <si>
    <t>ME2 Unit</t>
  </si>
  <si>
    <t>linkType</t>
  </si>
  <si>
    <t>OGCI/OGCILink.json</t>
  </si>
  <si>
    <t>Readable Name</t>
  </si>
  <si>
    <t>Tab</t>
  </si>
  <si>
    <t>Facilities</t>
  </si>
  <si>
    <t>Wells</t>
  </si>
  <si>
    <t>TwoPhaseSeparators</t>
  </si>
  <si>
    <t>ThreePhaseSeparators</t>
  </si>
  <si>
    <t>Dehydrators</t>
  </si>
  <si>
    <t>Compressors</t>
  </si>
  <si>
    <t>Flares</t>
  </si>
  <si>
    <t>VRUs</t>
  </si>
  <si>
    <t>Links</t>
  </si>
  <si>
    <t>Air</t>
  </si>
  <si>
    <t>well_71</t>
  </si>
  <si>
    <t>well_72</t>
  </si>
  <si>
    <t>well_73</t>
  </si>
  <si>
    <t>well_74</t>
  </si>
  <si>
    <t>well_75</t>
  </si>
  <si>
    <t>well_76</t>
  </si>
  <si>
    <t>well_77</t>
  </si>
  <si>
    <t>well_78</t>
  </si>
  <si>
    <t>well_79</t>
  </si>
  <si>
    <t>well_80</t>
  </si>
  <si>
    <t>well_81</t>
  </si>
  <si>
    <t>well_82</t>
  </si>
  <si>
    <t>well_83</t>
  </si>
  <si>
    <t>well_84</t>
  </si>
  <si>
    <t>well_85</t>
  </si>
  <si>
    <t>well_86</t>
  </si>
  <si>
    <t>well_87</t>
  </si>
  <si>
    <t>well_88</t>
  </si>
  <si>
    <t>well_89</t>
  </si>
  <si>
    <t>well_90</t>
  </si>
  <si>
    <t>fac3_pad01</t>
  </si>
  <si>
    <t>fac3_pad02</t>
  </si>
  <si>
    <t>fac3_pad03</t>
  </si>
  <si>
    <t>fac3_pad04</t>
  </si>
  <si>
    <t>fac3_pad05</t>
  </si>
  <si>
    <t>fac3_pad06</t>
  </si>
  <si>
    <t>fac3_pad07</t>
  </si>
  <si>
    <t>fac3_pad08</t>
  </si>
  <si>
    <t>fac3_pad09</t>
  </si>
  <si>
    <t>fac3_pad10</t>
  </si>
  <si>
    <t>fac3_pad11</t>
  </si>
  <si>
    <t>fac3_pad12</t>
  </si>
  <si>
    <t>fac3_pad13</t>
  </si>
  <si>
    <t>fac3_pad14</t>
  </si>
  <si>
    <t>fac3_pad15</t>
  </si>
  <si>
    <t>fac3_pad16</t>
  </si>
  <si>
    <t>fac3_pad17</t>
  </si>
  <si>
    <t>fac3_pad18</t>
  </si>
  <si>
    <t>fac3_pad19</t>
  </si>
  <si>
    <t>fac3_pad20</t>
  </si>
  <si>
    <t>fac3_pad21</t>
  </si>
  <si>
    <t>fac3_pad22</t>
  </si>
  <si>
    <t>fac3_pad23</t>
  </si>
  <si>
    <t>fac3_pad24</t>
  </si>
  <si>
    <t>fac3_pad25</t>
  </si>
  <si>
    <t>fac3_pad26</t>
  </si>
  <si>
    <t>fac3_pad27</t>
  </si>
  <si>
    <t>fac3_pad28</t>
  </si>
  <si>
    <t>fac3_pad29</t>
  </si>
  <si>
    <t>fac3_pad30</t>
  </si>
  <si>
    <t>fac3_pad31</t>
  </si>
  <si>
    <t>fac3_pad32</t>
  </si>
  <si>
    <t>fac3_pad33</t>
  </si>
  <si>
    <t>fac3_pad34</t>
  </si>
  <si>
    <t>fac3_pad35</t>
  </si>
  <si>
    <t>fac3_pad36</t>
  </si>
  <si>
    <t>fac3_pad37</t>
  </si>
  <si>
    <t>fac3_pad38</t>
  </si>
  <si>
    <t>fac3_pad39</t>
  </si>
  <si>
    <t>fac3_pad40</t>
  </si>
  <si>
    <t>fac3_pad41</t>
  </si>
  <si>
    <t>fac3_pad42</t>
  </si>
  <si>
    <t>fac3_pad43</t>
  </si>
  <si>
    <t>fac3_pad44</t>
  </si>
  <si>
    <t>fac3_pad45</t>
  </si>
  <si>
    <t>fac3_pad46</t>
  </si>
  <si>
    <t>fac3_pad47</t>
  </si>
  <si>
    <t>fac3_pad48</t>
  </si>
  <si>
    <t>fac3_pad49</t>
  </si>
  <si>
    <t>fac3_pad50</t>
  </si>
  <si>
    <t>fac3_pad51</t>
  </si>
  <si>
    <t>fac3_pad52</t>
  </si>
  <si>
    <t>fac3_pad53</t>
  </si>
  <si>
    <t>fac3_pad54</t>
  </si>
  <si>
    <t>fac3_pad55</t>
  </si>
  <si>
    <t>fac3_pad56</t>
  </si>
  <si>
    <t>fac3_pad57</t>
  </si>
  <si>
    <t>fac3_pad58</t>
  </si>
  <si>
    <t>fac3_pad59</t>
  </si>
  <si>
    <t>fac3_pad60</t>
  </si>
  <si>
    <t>fac3_pad61</t>
  </si>
  <si>
    <t>fac3_pad62</t>
  </si>
  <si>
    <t>fac3_pad63</t>
  </si>
  <si>
    <t>fac3_pad64</t>
  </si>
  <si>
    <t>fac3_pad65</t>
  </si>
  <si>
    <t>fac3_pad66</t>
  </si>
  <si>
    <t>fac3_pad67</t>
  </si>
  <si>
    <t>fac3_pad68</t>
  </si>
  <si>
    <t>fac3_pad69</t>
  </si>
  <si>
    <t>fac3_pad70</t>
  </si>
  <si>
    <t>fac3_pad71</t>
  </si>
  <si>
    <t>fac3_pad72</t>
  </si>
  <si>
    <t>fac3_pad73</t>
  </si>
  <si>
    <t>fac3_pad74</t>
  </si>
  <si>
    <t>fac3_pad75</t>
  </si>
  <si>
    <t>fac3_pad76</t>
  </si>
  <si>
    <t>fac3_pad77</t>
  </si>
  <si>
    <t>fac3_pad78</t>
  </si>
  <si>
    <t>fac3_pad79</t>
  </si>
  <si>
    <t>fac3_pad80</t>
  </si>
  <si>
    <t>fac3_pad81</t>
  </si>
  <si>
    <t>fac3_pad82</t>
  </si>
  <si>
    <t>fac3_pad83</t>
  </si>
  <si>
    <t>fac3_pad84</t>
  </si>
  <si>
    <t>fac3_pad85</t>
  </si>
  <si>
    <t>fac3_pad86</t>
  </si>
  <si>
    <t>fac3_pad87</t>
  </si>
  <si>
    <t>fac3_pad88</t>
  </si>
  <si>
    <t>fac3_pad89</t>
  </si>
  <si>
    <t>fac3_pad90</t>
  </si>
  <si>
    <t>fac3_flare1</t>
  </si>
  <si>
    <t>fac3_flare2</t>
  </si>
  <si>
    <t>fac3_train1</t>
  </si>
  <si>
    <t>fac3_train2</t>
  </si>
  <si>
    <t>fac3_water</t>
  </si>
  <si>
    <t>fac3_yard2</t>
  </si>
  <si>
    <t>Group</t>
  </si>
  <si>
    <t>Major Equipment Count</t>
  </si>
  <si>
    <t>Latitude Center</t>
  </si>
  <si>
    <t>Longitude Center</t>
  </si>
  <si>
    <t>dehy_flare_1</t>
  </si>
  <si>
    <t>dehy_flare_2</t>
  </si>
  <si>
    <t>train_1</t>
  </si>
  <si>
    <t>train_2</t>
  </si>
  <si>
    <t>Total Yard Piping Components</t>
  </si>
  <si>
    <t>saved links</t>
  </si>
  <si>
    <t>vru_train1_VRT</t>
  </si>
  <si>
    <t>vru_train2_VRT</t>
  </si>
  <si>
    <t>flare_1</t>
  </si>
  <si>
    <t>Actuator Type</t>
  </si>
  <si>
    <t>Common Single-unit Vent(Large Emitter) pLeak</t>
  </si>
  <si>
    <t>Seal Vent(Large Emitter) pLeak</t>
  </si>
  <si>
    <t>Seal Vent pLeak</t>
  </si>
  <si>
    <t>Station Components Large Emitter (TRUE/FALSE)</t>
  </si>
  <si>
    <t>Station Common Vent (TRUE/FALSE)</t>
  </si>
  <si>
    <t>Dry</t>
  </si>
  <si>
    <t>Electric</t>
  </si>
  <si>
    <t>Facility.json</t>
  </si>
  <si>
    <t>Flow Tag</t>
  </si>
  <si>
    <t>ContinuousSeparator.json</t>
  </si>
  <si>
    <t>Dehydrator.json</t>
  </si>
  <si>
    <t>Compressor.json</t>
  </si>
  <si>
    <t>Flare.json</t>
  </si>
  <si>
    <t>Station.json</t>
  </si>
  <si>
    <t>Fluid Flow</t>
  </si>
  <si>
    <t>FFLinks</t>
  </si>
  <si>
    <t>Outlet FacilityID</t>
  </si>
  <si>
    <t>Outlet UnitID</t>
  </si>
  <si>
    <t>Inlet FacilityID</t>
  </si>
  <si>
    <t>Inlet UnitID</t>
  </si>
  <si>
    <t>Flow Name</t>
  </si>
  <si>
    <t>Flow SecondaryID</t>
  </si>
  <si>
    <t>FFLink.json</t>
  </si>
  <si>
    <t>sep_stage1_1</t>
  </si>
  <si>
    <t>sep_stage2_1</t>
  </si>
  <si>
    <t>sep_stage3_1</t>
  </si>
  <si>
    <t>Condensate</t>
  </si>
  <si>
    <t>Water</t>
  </si>
  <si>
    <t>Primary Water Takeoff Ratio</t>
  </si>
  <si>
    <t>Flow GC Tag</t>
  </si>
  <si>
    <t>secondary_water</t>
  </si>
  <si>
    <t>primary_water</t>
  </si>
  <si>
    <t>Component Leak Survey Frequency [days]</t>
  </si>
  <si>
    <t>Water Production [bbl/d]</t>
  </si>
  <si>
    <t>Oil Production [bbl/d]</t>
  </si>
  <si>
    <t>Gas Production [mscf/d]</t>
  </si>
  <si>
    <t>Actuator Type [Gas, Electric, Air]</t>
  </si>
  <si>
    <t>Malfunction Duration min [days]</t>
  </si>
  <si>
    <t>Malfunction Duration max [days]</t>
  </si>
  <si>
    <t>Unlit Duration min [days]</t>
  </si>
  <si>
    <t>Unlit Duration max [days]</t>
  </si>
  <si>
    <t>Operating Duration min [days]</t>
  </si>
  <si>
    <t>Operating Duration max [days]</t>
  </si>
  <si>
    <t>Actuator Type [Air, Electric, Gas]</t>
  </si>
  <si>
    <t>Tank Thief Hatch MTTR min [days]</t>
  </si>
  <si>
    <t>Tank Thief Hatch MTTR max [days]</t>
  </si>
  <si>
    <t>Tank Battery Vent MTTR min [days]</t>
  </si>
  <si>
    <t>Tank Battery Vent MTTR max [days]</t>
  </si>
  <si>
    <t>Common Single-Unit Vent MTTR Min [days]</t>
  </si>
  <si>
    <t>Common Single-Unit Vent MTTR Max [days]</t>
  </si>
  <si>
    <t>Seal Vent MTTR Min [days]</t>
  </si>
  <si>
    <t>Seal Vent MTTR Max [days]</t>
  </si>
  <si>
    <t>Seal Vent(Large Emitter) MTTR Min [days]</t>
  </si>
  <si>
    <t>Seal Vent(Large Emitter) MTTR Max [days]</t>
  </si>
  <si>
    <t>Flow Gas Composition</t>
  </si>
  <si>
    <t>Combustion GC Name</t>
  </si>
  <si>
    <t>Starter Event Emission Duration [s]</t>
  </si>
  <si>
    <t>Starter Event Emission Volume [SCF]</t>
  </si>
  <si>
    <t>Blowdown Event Duration [s]</t>
  </si>
  <si>
    <t>Blowdown Event Emission Volume [SCF]</t>
  </si>
  <si>
    <t>Blowdown Vent Component Count</t>
  </si>
  <si>
    <t>Common Single-Unit Vent Component Count</t>
  </si>
  <si>
    <t>Seal Vent Component Count</t>
  </si>
  <si>
    <t>Seal Vent(Large Emitter) Component Count</t>
  </si>
  <si>
    <t>Compressor Starter Vent Component Count</t>
  </si>
  <si>
    <t>Common Single-unit Vent(Large Emitter) Component Count</t>
  </si>
  <si>
    <t>FixedSource.json</t>
  </si>
  <si>
    <t>Malfunction Destruction Efficiency</t>
  </si>
  <si>
    <t>Unlit Destruction Efficiency</t>
  </si>
  <si>
    <t>Operating Destruction Efficiency</t>
  </si>
  <si>
    <t>Activity / Emission Factor Name</t>
  </si>
  <si>
    <t>Factor Tag</t>
  </si>
  <si>
    <t>Stage1</t>
  </si>
  <si>
    <t>Stage2</t>
  </si>
  <si>
    <t>Stage3</t>
  </si>
  <si>
    <t>Number of Thief Hatches</t>
  </si>
  <si>
    <t>Number of Vents</t>
  </si>
  <si>
    <t>Output Directory Template</t>
  </si>
  <si>
    <t>Stuck Dump Valve Component Count</t>
  </si>
  <si>
    <t>Stuck Dump Valve pLeak</t>
  </si>
  <si>
    <t>Stuck Dump Valve Failure Duration Min [days]</t>
  </si>
  <si>
    <t>Stuck Dump Valve Failure Duration Max [days]</t>
  </si>
  <si>
    <t>Fraction of Flash Released</t>
  </si>
  <si>
    <t>Overpressure Vents Large Emitter MTTR min [days]</t>
  </si>
  <si>
    <t>Overpressure Vents Large Emitter MTTR max [days]</t>
  </si>
  <si>
    <t>Overpressure Vents Large Emitter pLeak</t>
  </si>
  <si>
    <t>Compressor Type [Centrifugal, Reciprocating, Other]</t>
  </si>
  <si>
    <t>Starter Type [Gas, Electric, Air]</t>
  </si>
  <si>
    <t>Blowdown Vent MTTRMin [days]</t>
  </si>
  <si>
    <t>Blowdown Vent MTTRMax [days]</t>
  </si>
  <si>
    <t>Compressor Starter Vent MTTR Min [days]</t>
  </si>
  <si>
    <t>Compressor Starter Vent MTTR Max [days]</t>
  </si>
  <si>
    <t>Common Single-unit Vent(Large Emitter) MTTR Min [days]</t>
  </si>
  <si>
    <t>Common Single-unit Vent(Large Emitter) MTTR Max [days]</t>
  </si>
  <si>
    <t>input/Studies/IntegratedSites/Integrated_Site_3/CompositionsSite3.csv</t>
  </si>
  <si>
    <t>FlashFractions/FlashFractionsTest.csv</t>
  </si>
  <si>
    <t>Overpressure Vents Large Emitter Threshold [scfh]</t>
  </si>
  <si>
    <t>Inlet Flow At Max Primary Flow [scfh]</t>
  </si>
  <si>
    <t>Max Primary Outlet Flow [scfh]</t>
  </si>
  <si>
    <t>TankBattery.json</t>
  </si>
  <si>
    <t>Driver Type [Turbine, 4SLB, 2SLB, 4SRB, Electric]</t>
  </si>
  <si>
    <t>Seal Type [Dry, Wet, Rod Packing]</t>
  </si>
  <si>
    <t>Single Unit Vents [TRUE, FALSE]</t>
  </si>
  <si>
    <t>Battery Type [Condensate Tank, Water Tank]</t>
  </si>
  <si>
    <t>Fluid [Water, Condensate]</t>
  </si>
  <si>
    <t>Vapor</t>
  </si>
  <si>
    <t>stuck_dump_valve_vapor</t>
  </si>
  <si>
    <t>water_flash</t>
  </si>
  <si>
    <t>condensate_flash</t>
  </si>
  <si>
    <t>condensate_flow</t>
  </si>
  <si>
    <t>tank_flash</t>
  </si>
  <si>
    <t>tank_gas_outlet</t>
  </si>
  <si>
    <t>Default-LeakGc</t>
  </si>
  <si>
    <t>Facility Common Vent [TRUE/FALSE]</t>
  </si>
  <si>
    <t>Common Facility Vent Component Count</t>
  </si>
  <si>
    <t>Common Facility Vent MTTR Min [days]</t>
  </si>
  <si>
    <t>Common Facility Vent MTTR Max [days]</t>
  </si>
  <si>
    <t>Common Facility Vent pLeak</t>
  </si>
  <si>
    <t>Facility Components Large Emitter [TRUE/FALSE]</t>
  </si>
  <si>
    <t>Facility Components (Large Emitter) MTTR Min [days]</t>
  </si>
  <si>
    <t>Facility Components (Large Emitter) MTTR Max [days]</t>
  </si>
  <si>
    <t>Facility Components (Large Emitter) pLeak</t>
  </si>
  <si>
    <t>Facility Vent (Large Emitter) MTTR Min [days]</t>
  </si>
  <si>
    <t>Facility Vent (Large Emitter) MTTR Max [days]</t>
  </si>
  <si>
    <t>Facility Vent (Large Emitter) pLeak</t>
  </si>
  <si>
    <t>Misc</t>
  </si>
  <si>
    <t>MiscWellpad.json</t>
  </si>
  <si>
    <t>Engine Efficiency</t>
  </si>
  <si>
    <t>Exhaust Factors</t>
  </si>
  <si>
    <t>DestEff</t>
  </si>
  <si>
    <t>Total Duration Lower Limit [Hours]</t>
  </si>
  <si>
    <t>Total Duration Upper Limit [Hours]</t>
  </si>
  <si>
    <t>Compressor Power [kW]</t>
  </si>
  <si>
    <t>Well-Condensate.Stage1-Flash</t>
  </si>
  <si>
    <t>Well-Condensate.Stage1-Condensate.Stage2-Flash</t>
  </si>
  <si>
    <t>Well-Condensate.Stage1-Condensate.Stage2-Condensate.Stage3-Flash</t>
  </si>
  <si>
    <t>Leak GC Name</t>
  </si>
  <si>
    <t>Well-Condensate.Stage1-Condensate.Stage2-Condensate.Stage3-Condensate.Tank-Flash</t>
  </si>
  <si>
    <t>Well-Water.Stage1-Water.Stage2-Water.Stage3-Water.Tank-Flash</t>
  </si>
  <si>
    <t>gef_sep</t>
  </si>
  <si>
    <t>gef_dehy</t>
  </si>
  <si>
    <t>gef_comp</t>
  </si>
  <si>
    <t>gef_misc</t>
  </si>
  <si>
    <t>gef_tank</t>
  </si>
  <si>
    <t>gef_flare</t>
  </si>
  <si>
    <t>Leak Gas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</si>
</sst>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4" fillId="8" borderId="0" applyNumberFormat="0" applyBorder="0" applyAlignment="0" applyProtection="0"/>
  </cellStyleXfs>
  <cellXfs count="7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/>
    <xf numFmtId="164" fontId="0" fillId="0" borderId="0" xfId="0" applyNumberFormat="1"/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5" borderId="1" xfId="0" applyFont="1" applyFill="1" applyBorder="1" applyAlignment="1">
      <alignment horizontal="center" wrapText="1"/>
    </xf>
    <xf numFmtId="0" fontId="0" fillId="6" borderId="0" xfId="0" applyFill="1"/>
    <xf numFmtId="0" fontId="1" fillId="7" borderId="1" xfId="0" applyFont="1" applyFill="1" applyBorder="1" applyAlignment="1">
      <alignment horizontal="center" wrapText="1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3" borderId="0" xfId="0" applyFill="1"/>
    <xf numFmtId="0" fontId="6" fillId="9" borderId="0" xfId="1" applyFont="1" applyFill="1"/>
    <xf numFmtId="0" fontId="0" fillId="9" borderId="0" xfId="0" applyFill="1"/>
    <xf numFmtId="0" fontId="6" fillId="10" borderId="0" xfId="1" applyFont="1" applyFill="1"/>
    <xf numFmtId="0" fontId="0" fillId="10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11" borderId="0" xfId="0" applyFill="1"/>
    <xf numFmtId="0" fontId="1" fillId="11" borderId="1" xfId="0" applyFont="1" applyFill="1" applyBorder="1" applyAlignment="1">
      <alignment horizontal="center" vertical="center" wrapText="1"/>
    </xf>
    <xf numFmtId="0" fontId="0" fillId="12" borderId="0" xfId="0" applyFill="1"/>
    <xf numFmtId="0" fontId="1" fillId="1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13" borderId="0" xfId="0" applyFill="1"/>
    <xf numFmtId="0" fontId="2" fillId="13" borderId="1" xfId="0" applyFont="1" applyFill="1" applyBorder="1" applyAlignment="1">
      <alignment horizontal="center" vertical="center" wrapText="1"/>
    </xf>
    <xf numFmtId="0" fontId="0" fillId="14" borderId="0" xfId="0" applyFill="1"/>
    <xf numFmtId="0" fontId="1" fillId="14" borderId="1" xfId="0" applyFont="1" applyFill="1" applyBorder="1" applyAlignment="1">
      <alignment horizontal="center" vertical="center" wrapText="1"/>
    </xf>
    <xf numFmtId="0" fontId="0" fillId="15" borderId="0" xfId="0" applyFill="1"/>
    <xf numFmtId="0" fontId="6" fillId="15" borderId="0" xfId="0" applyFont="1" applyFill="1"/>
    <xf numFmtId="0" fontId="1" fillId="0" borderId="1" xfId="0" applyFont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0" fillId="16" borderId="0" xfId="0" applyFill="1"/>
    <xf numFmtId="0" fontId="1" fillId="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7" borderId="0" xfId="0" applyFill="1"/>
    <xf numFmtId="0" fontId="0" fillId="16" borderId="0" xfId="0" applyFill="1" applyAlignment="1">
      <alignment horizontal="center"/>
    </xf>
    <xf numFmtId="0" fontId="0" fillId="18" borderId="0" xfId="0" applyFill="1"/>
    <xf numFmtId="0" fontId="0" fillId="19" borderId="0" xfId="0" applyFill="1"/>
    <xf numFmtId="0" fontId="0" fillId="4" borderId="0" xfId="0" applyFill="1"/>
    <xf numFmtId="1" fontId="0" fillId="16" borderId="0" xfId="0" applyNumberFormat="1" applyFill="1"/>
    <xf numFmtId="0" fontId="2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18" borderId="1" xfId="1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5" x14ac:dyDescent="0.25"/>
  <cols>
    <col min="1" max="1" width="30.7109375" bestFit="1" customWidth="1"/>
    <col min="2" max="2" width="6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2</v>
      </c>
    </row>
    <row r="4" spans="1:2" x14ac:dyDescent="0.25">
      <c r="A4" t="s">
        <v>343</v>
      </c>
    </row>
    <row r="5" spans="1:2" x14ac:dyDescent="0.25">
      <c r="A5" t="s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"/>
  <sheetViews>
    <sheetView workbookViewId="0">
      <selection activeCell="D11" sqref="D11"/>
    </sheetView>
  </sheetViews>
  <sheetFormatPr defaultRowHeight="15" x14ac:dyDescent="0.25"/>
  <cols>
    <col min="1" max="1" width="10.5703125" bestFit="1" customWidth="1"/>
    <col min="2" max="3" width="12" customWidth="1"/>
    <col min="4" max="4" width="66.7109375" bestFit="1" customWidth="1"/>
    <col min="5" max="5" width="20" bestFit="1" customWidth="1"/>
  </cols>
  <sheetData>
    <row r="1" spans="1:5" s="2" customFormat="1" x14ac:dyDescent="0.25">
      <c r="A1" s="3" t="s">
        <v>4</v>
      </c>
      <c r="B1" s="3" t="s">
        <v>5</v>
      </c>
      <c r="C1" s="3" t="s">
        <v>6</v>
      </c>
      <c r="D1" s="3" t="s">
        <v>411</v>
      </c>
      <c r="E1" s="3" t="s">
        <v>9</v>
      </c>
    </row>
    <row r="2" spans="1:5" x14ac:dyDescent="0.25">
      <c r="A2" t="s">
        <v>246</v>
      </c>
      <c r="B2">
        <v>0.23511000000000001</v>
      </c>
      <c r="C2">
        <v>0.17669000000000001</v>
      </c>
      <c r="D2" t="s">
        <v>360</v>
      </c>
      <c r="E2" t="s">
        <v>273</v>
      </c>
    </row>
    <row r="3" spans="1:5" x14ac:dyDescent="0.25">
      <c r="A3" t="s">
        <v>247</v>
      </c>
      <c r="B3">
        <v>0.23097999999999999</v>
      </c>
      <c r="C3">
        <v>0.17615</v>
      </c>
      <c r="D3" t="s">
        <v>360</v>
      </c>
      <c r="E3" t="s">
        <v>273</v>
      </c>
    </row>
    <row r="4" spans="1:5" x14ac:dyDescent="0.25">
      <c r="A4" t="s">
        <v>248</v>
      </c>
      <c r="B4">
        <v>0.23569000000000001</v>
      </c>
      <c r="C4">
        <v>0.1719</v>
      </c>
      <c r="D4" t="s">
        <v>360</v>
      </c>
      <c r="E4" t="s">
        <v>273</v>
      </c>
    </row>
    <row r="5" spans="1:5" x14ac:dyDescent="0.25">
      <c r="A5" t="s">
        <v>249</v>
      </c>
      <c r="B5">
        <v>0.23146</v>
      </c>
      <c r="C5">
        <v>0.17277999999999999</v>
      </c>
      <c r="D5" t="s">
        <v>360</v>
      </c>
      <c r="E5" t="s">
        <v>273</v>
      </c>
    </row>
    <row r="6" spans="1:5" x14ac:dyDescent="0.25">
      <c r="A6" t="s">
        <v>250</v>
      </c>
      <c r="B6">
        <v>0.23494999999999999</v>
      </c>
      <c r="C6">
        <v>0.16136</v>
      </c>
      <c r="D6" t="s">
        <v>360</v>
      </c>
      <c r="E6" t="s">
        <v>273</v>
      </c>
    </row>
    <row r="7" spans="1:5" x14ac:dyDescent="0.25">
      <c r="A7" t="s">
        <v>251</v>
      </c>
      <c r="B7">
        <v>0.23091</v>
      </c>
      <c r="C7">
        <v>0.17019000000000001</v>
      </c>
      <c r="D7" t="s">
        <v>360</v>
      </c>
      <c r="E7" t="s">
        <v>273</v>
      </c>
    </row>
    <row r="8" spans="1:5" x14ac:dyDescent="0.25">
      <c r="A8" t="s">
        <v>156</v>
      </c>
      <c r="B8" s="7">
        <v>0.27013432797080494</v>
      </c>
      <c r="C8" s="7">
        <v>7.3204043643305766E-2</v>
      </c>
      <c r="D8" t="s">
        <v>360</v>
      </c>
      <c r="E8" t="s">
        <v>273</v>
      </c>
    </row>
    <row r="9" spans="1:5" x14ac:dyDescent="0.25">
      <c r="A9" t="s">
        <v>157</v>
      </c>
      <c r="B9" s="7">
        <v>0.25429680954247474</v>
      </c>
      <c r="C9" s="7">
        <v>6.3611940703968375E-2</v>
      </c>
      <c r="D9" t="s">
        <v>360</v>
      </c>
      <c r="E9" t="s">
        <v>273</v>
      </c>
    </row>
    <row r="10" spans="1:5" x14ac:dyDescent="0.25">
      <c r="A10" t="s">
        <v>158</v>
      </c>
      <c r="B10" s="7">
        <v>0.28082505908399019</v>
      </c>
      <c r="C10" s="7">
        <v>0.10081932193643058</v>
      </c>
      <c r="D10" t="s">
        <v>360</v>
      </c>
      <c r="E10" t="s">
        <v>273</v>
      </c>
    </row>
    <row r="11" spans="1:5" x14ac:dyDescent="0.25">
      <c r="A11" t="s">
        <v>159</v>
      </c>
      <c r="B11" s="7">
        <v>0.27308666162116457</v>
      </c>
      <c r="C11" s="7">
        <v>9.802297246221775E-2</v>
      </c>
      <c r="D11" t="s">
        <v>360</v>
      </c>
      <c r="E11" t="s">
        <v>273</v>
      </c>
    </row>
    <row r="12" spans="1:5" x14ac:dyDescent="0.25">
      <c r="A12" t="s">
        <v>160</v>
      </c>
      <c r="B12" s="7">
        <v>0.23584990287264404</v>
      </c>
      <c r="C12" s="7">
        <v>6.3042490860844277E-2</v>
      </c>
      <c r="D12" t="s">
        <v>360</v>
      </c>
      <c r="E12" t="s">
        <v>273</v>
      </c>
    </row>
    <row r="13" spans="1:5" x14ac:dyDescent="0.25">
      <c r="A13" t="s">
        <v>161</v>
      </c>
      <c r="B13" s="7">
        <v>0.19143187649003865</v>
      </c>
      <c r="C13" s="7">
        <v>2.2802748551129459E-2</v>
      </c>
      <c r="D13" t="s">
        <v>360</v>
      </c>
      <c r="E13" t="s">
        <v>273</v>
      </c>
    </row>
    <row r="14" spans="1:5" x14ac:dyDescent="0.25">
      <c r="A14" t="s">
        <v>162</v>
      </c>
      <c r="B14" s="7">
        <v>0.20528826343936921</v>
      </c>
      <c r="C14" s="7">
        <v>4.262797398486616E-2</v>
      </c>
      <c r="D14" t="s">
        <v>360</v>
      </c>
      <c r="E14" t="s">
        <v>273</v>
      </c>
    </row>
    <row r="15" spans="1:5" x14ac:dyDescent="0.25">
      <c r="A15" t="s">
        <v>163</v>
      </c>
      <c r="B15" s="7">
        <v>0.27511288105019271</v>
      </c>
      <c r="C15" s="7">
        <v>0.11504729795597352</v>
      </c>
      <c r="D15" t="s">
        <v>360</v>
      </c>
      <c r="E15" t="s">
        <v>273</v>
      </c>
    </row>
    <row r="16" spans="1:5" x14ac:dyDescent="0.25">
      <c r="A16" t="s">
        <v>164</v>
      </c>
      <c r="B16" s="7">
        <v>0.25546902713798958</v>
      </c>
      <c r="C16" s="7">
        <v>9.8100508945817719E-2</v>
      </c>
      <c r="D16" t="s">
        <v>360</v>
      </c>
      <c r="E16" t="s">
        <v>273</v>
      </c>
    </row>
    <row r="17" spans="1:5" x14ac:dyDescent="0.25">
      <c r="A17" t="s">
        <v>165</v>
      </c>
      <c r="B17" s="7">
        <v>0.23699713452896384</v>
      </c>
      <c r="C17" s="7">
        <v>8.1003416595766431E-2</v>
      </c>
      <c r="D17" t="s">
        <v>360</v>
      </c>
      <c r="E17" t="s">
        <v>273</v>
      </c>
    </row>
    <row r="18" spans="1:5" x14ac:dyDescent="0.25">
      <c r="A18" t="s">
        <v>166</v>
      </c>
      <c r="B18" s="7">
        <v>0.28065554056458791</v>
      </c>
      <c r="C18" s="7">
        <v>0.13282859944331779</v>
      </c>
      <c r="D18" t="s">
        <v>360</v>
      </c>
      <c r="E18" t="s">
        <v>273</v>
      </c>
    </row>
    <row r="19" spans="1:5" x14ac:dyDescent="0.25">
      <c r="A19" t="s">
        <v>167</v>
      </c>
      <c r="B19" s="7">
        <v>0.17444734323260741</v>
      </c>
      <c r="C19" s="7">
        <v>3.1176160625192417E-2</v>
      </c>
      <c r="D19" t="s">
        <v>360</v>
      </c>
      <c r="E19" t="s">
        <v>273</v>
      </c>
    </row>
    <row r="20" spans="1:5" x14ac:dyDescent="0.25">
      <c r="A20" t="s">
        <v>168</v>
      </c>
      <c r="B20" s="7">
        <v>0.27565362038764335</v>
      </c>
      <c r="C20" s="7">
        <v>0.13412225256764598</v>
      </c>
      <c r="D20" t="s">
        <v>360</v>
      </c>
      <c r="E20" t="s">
        <v>273</v>
      </c>
    </row>
    <row r="21" spans="1:5" x14ac:dyDescent="0.25">
      <c r="A21" t="s">
        <v>169</v>
      </c>
      <c r="B21" s="7">
        <v>0.25659512715236371</v>
      </c>
      <c r="C21" s="7">
        <v>0.11603373222020288</v>
      </c>
      <c r="D21" t="s">
        <v>360</v>
      </c>
      <c r="E21" t="s">
        <v>273</v>
      </c>
    </row>
    <row r="22" spans="1:5" x14ac:dyDescent="0.25">
      <c r="A22" t="s">
        <v>170</v>
      </c>
      <c r="B22" s="7">
        <v>0.23801715776197702</v>
      </c>
      <c r="C22" s="7">
        <v>9.8132917028078567E-2</v>
      </c>
      <c r="D22" t="s">
        <v>360</v>
      </c>
      <c r="E22" t="s">
        <v>273</v>
      </c>
    </row>
    <row r="23" spans="1:5" x14ac:dyDescent="0.25">
      <c r="A23" t="s">
        <v>171</v>
      </c>
      <c r="B23" s="7">
        <v>0.200892434735706</v>
      </c>
      <c r="C23" s="7">
        <v>6.372017279027202E-2</v>
      </c>
      <c r="D23" t="s">
        <v>360</v>
      </c>
      <c r="E23" t="s">
        <v>273</v>
      </c>
    </row>
    <row r="24" spans="1:5" x14ac:dyDescent="0.25">
      <c r="A24" t="s">
        <v>172</v>
      </c>
      <c r="B24" s="7">
        <v>0.17787242428236358</v>
      </c>
      <c r="C24" s="7">
        <v>4.8737635642106439E-2</v>
      </c>
      <c r="D24" t="s">
        <v>360</v>
      </c>
      <c r="E24" t="s">
        <v>273</v>
      </c>
    </row>
    <row r="25" spans="1:5" x14ac:dyDescent="0.25">
      <c r="A25" t="s">
        <v>173</v>
      </c>
      <c r="B25" s="7">
        <v>0.25756947986452944</v>
      </c>
      <c r="C25" s="7">
        <v>0.13406344689160302</v>
      </c>
      <c r="D25" t="s">
        <v>360</v>
      </c>
      <c r="E25" t="s">
        <v>273</v>
      </c>
    </row>
    <row r="26" spans="1:5" x14ac:dyDescent="0.25">
      <c r="A26" t="s">
        <v>174</v>
      </c>
      <c r="B26" s="7">
        <v>0.21857188626034665</v>
      </c>
      <c r="C26" s="7">
        <v>9.5557196332085217E-2</v>
      </c>
      <c r="D26" t="s">
        <v>360</v>
      </c>
      <c r="E26" t="s">
        <v>273</v>
      </c>
    </row>
    <row r="27" spans="1:5" x14ac:dyDescent="0.25">
      <c r="A27" t="s">
        <v>175</v>
      </c>
      <c r="B27" s="7">
        <v>0.2757969748931241</v>
      </c>
      <c r="C27" s="7">
        <v>0.15682644145153954</v>
      </c>
      <c r="D27" t="s">
        <v>360</v>
      </c>
      <c r="E27" t="s">
        <v>273</v>
      </c>
    </row>
    <row r="28" spans="1:5" x14ac:dyDescent="0.25">
      <c r="A28" t="s">
        <v>176</v>
      </c>
      <c r="B28" s="7">
        <v>0.16244542703216663</v>
      </c>
      <c r="C28" s="7">
        <v>4.4479557439643387E-2</v>
      </c>
      <c r="D28" t="s">
        <v>360</v>
      </c>
      <c r="E28" t="s">
        <v>273</v>
      </c>
    </row>
    <row r="29" spans="1:5" x14ac:dyDescent="0.25">
      <c r="A29" t="s">
        <v>177</v>
      </c>
      <c r="B29" s="7">
        <v>0.17112495028405206</v>
      </c>
      <c r="C29" s="7">
        <v>5.7891398954163099E-2</v>
      </c>
      <c r="D29" t="s">
        <v>360</v>
      </c>
      <c r="E29" t="s">
        <v>273</v>
      </c>
    </row>
    <row r="30" spans="1:5" x14ac:dyDescent="0.25">
      <c r="A30" t="s">
        <v>178</v>
      </c>
      <c r="B30" s="7">
        <v>0.23031507496233866</v>
      </c>
      <c r="C30" s="7">
        <v>0.11804797045726227</v>
      </c>
      <c r="D30" t="s">
        <v>360</v>
      </c>
      <c r="E30" t="s">
        <v>273</v>
      </c>
    </row>
    <row r="31" spans="1:5" x14ac:dyDescent="0.25">
      <c r="A31" t="s">
        <v>179</v>
      </c>
      <c r="B31" s="7">
        <v>0.19856824119401539</v>
      </c>
      <c r="C31" s="7">
        <v>8.6920969755843583E-2</v>
      </c>
      <c r="D31" t="s">
        <v>360</v>
      </c>
      <c r="E31" t="s">
        <v>273</v>
      </c>
    </row>
    <row r="32" spans="1:5" x14ac:dyDescent="0.25">
      <c r="A32" t="s">
        <v>180</v>
      </c>
      <c r="B32" s="7">
        <v>0.1702479571796994</v>
      </c>
      <c r="C32" s="7">
        <v>6.6637804022887409E-2</v>
      </c>
      <c r="D32" t="s">
        <v>360</v>
      </c>
      <c r="E32" t="s">
        <v>273</v>
      </c>
    </row>
    <row r="33" spans="1:5" x14ac:dyDescent="0.25">
      <c r="A33" t="s">
        <v>181</v>
      </c>
      <c r="B33" s="7">
        <v>0.23303376822176777</v>
      </c>
      <c r="C33" s="7">
        <v>0.13493855767342378</v>
      </c>
      <c r="D33" t="s">
        <v>360</v>
      </c>
      <c r="E33" t="s">
        <v>273</v>
      </c>
    </row>
    <row r="34" spans="1:5" x14ac:dyDescent="0.25">
      <c r="A34" t="s">
        <v>182</v>
      </c>
      <c r="B34" s="7">
        <v>0.14102866197709593</v>
      </c>
      <c r="C34" s="7">
        <v>4.8789092839941567E-2</v>
      </c>
      <c r="D34" t="s">
        <v>360</v>
      </c>
      <c r="E34" t="s">
        <v>273</v>
      </c>
    </row>
    <row r="35" spans="1:5" x14ac:dyDescent="0.25">
      <c r="A35" t="s">
        <v>183</v>
      </c>
      <c r="B35" s="7">
        <v>0.1531529631200356</v>
      </c>
      <c r="C35" s="7">
        <v>6.1446564054086161E-2</v>
      </c>
      <c r="D35" t="s">
        <v>360</v>
      </c>
      <c r="E35" t="s">
        <v>273</v>
      </c>
    </row>
    <row r="36" spans="1:5" x14ac:dyDescent="0.25">
      <c r="A36" t="s">
        <v>184</v>
      </c>
      <c r="B36" s="7">
        <v>0.20219982921880231</v>
      </c>
      <c r="C36" s="7">
        <v>0.11816043582932324</v>
      </c>
      <c r="D36" t="s">
        <v>360</v>
      </c>
      <c r="E36" t="s">
        <v>273</v>
      </c>
    </row>
    <row r="37" spans="1:5" x14ac:dyDescent="0.25">
      <c r="A37" t="s">
        <v>185</v>
      </c>
      <c r="B37" s="7">
        <v>0.27096343614434065</v>
      </c>
      <c r="C37" s="7">
        <v>0.18802970029931637</v>
      </c>
      <c r="D37" t="s">
        <v>360</v>
      </c>
      <c r="E37" t="s">
        <v>273</v>
      </c>
    </row>
    <row r="38" spans="1:5" x14ac:dyDescent="0.25">
      <c r="A38" t="s">
        <v>186</v>
      </c>
      <c r="B38" s="7">
        <v>0.21567232177068199</v>
      </c>
      <c r="C38" s="7">
        <v>0.13346736134625239</v>
      </c>
      <c r="D38" t="s">
        <v>360</v>
      </c>
      <c r="E38" t="s">
        <v>273</v>
      </c>
    </row>
    <row r="39" spans="1:5" x14ac:dyDescent="0.25">
      <c r="A39" t="s">
        <v>187</v>
      </c>
      <c r="B39" s="7">
        <v>0.17496421584617086</v>
      </c>
      <c r="C39" s="7">
        <v>0.10037417770590583</v>
      </c>
      <c r="D39" t="s">
        <v>360</v>
      </c>
      <c r="E39" t="s">
        <v>273</v>
      </c>
    </row>
    <row r="40" spans="1:5" x14ac:dyDescent="0.25">
      <c r="A40" t="s">
        <v>188</v>
      </c>
      <c r="B40" s="7">
        <v>0.22665496622836201</v>
      </c>
      <c r="C40" s="7">
        <v>0.1523833772813471</v>
      </c>
      <c r="D40" t="s">
        <v>360</v>
      </c>
      <c r="E40" t="s">
        <v>273</v>
      </c>
    </row>
    <row r="41" spans="1:5" x14ac:dyDescent="0.25">
      <c r="A41" t="s">
        <v>189</v>
      </c>
      <c r="B41" s="7">
        <v>0.2532239980700034</v>
      </c>
      <c r="C41" s="7">
        <v>0.18447012454739442</v>
      </c>
      <c r="D41" t="s">
        <v>360</v>
      </c>
      <c r="E41" t="s">
        <v>273</v>
      </c>
    </row>
    <row r="42" spans="1:5" x14ac:dyDescent="0.25">
      <c r="A42" t="s">
        <v>190</v>
      </c>
      <c r="B42" s="7">
        <v>0.21299146064343635</v>
      </c>
      <c r="C42" s="7">
        <v>0.15655166664517334</v>
      </c>
      <c r="D42" t="s">
        <v>360</v>
      </c>
      <c r="E42" t="s">
        <v>273</v>
      </c>
    </row>
    <row r="43" spans="1:5" x14ac:dyDescent="0.25">
      <c r="A43" t="s">
        <v>191</v>
      </c>
      <c r="B43" s="7">
        <v>0.17586462144688234</v>
      </c>
      <c r="C43" s="7">
        <v>0.1233746742338052</v>
      </c>
      <c r="D43" t="s">
        <v>360</v>
      </c>
      <c r="E43" t="s">
        <v>273</v>
      </c>
    </row>
    <row r="44" spans="1:5" x14ac:dyDescent="0.25">
      <c r="A44" t="s">
        <v>192</v>
      </c>
      <c r="B44" s="7">
        <v>0.14023982826204337</v>
      </c>
      <c r="C44" s="7">
        <v>0.1036260364453972</v>
      </c>
      <c r="D44" t="s">
        <v>360</v>
      </c>
      <c r="E44" t="s">
        <v>273</v>
      </c>
    </row>
    <row r="45" spans="1:5" x14ac:dyDescent="0.25">
      <c r="A45" t="s">
        <v>193</v>
      </c>
      <c r="B45" s="7">
        <v>0.21752687223418124</v>
      </c>
      <c r="C45" s="7">
        <v>0.18099198131414115</v>
      </c>
      <c r="D45" t="s">
        <v>360</v>
      </c>
      <c r="E45" t="s">
        <v>273</v>
      </c>
    </row>
    <row r="46" spans="1:5" x14ac:dyDescent="0.25">
      <c r="A46" t="s">
        <v>194</v>
      </c>
      <c r="B46" s="7">
        <v>0.13939605877631273</v>
      </c>
      <c r="C46" s="7">
        <v>0.12411576340680411</v>
      </c>
      <c r="D46" t="s">
        <v>360</v>
      </c>
      <c r="E46" t="s">
        <v>273</v>
      </c>
    </row>
    <row r="47" spans="1:5" x14ac:dyDescent="0.25">
      <c r="A47" t="s">
        <v>195</v>
      </c>
      <c r="B47" s="7">
        <v>0.17855849819127065</v>
      </c>
      <c r="C47" s="7">
        <v>0.17145960934044818</v>
      </c>
      <c r="D47" t="s">
        <v>360</v>
      </c>
      <c r="E47" t="s">
        <v>273</v>
      </c>
    </row>
    <row r="48" spans="1:5" x14ac:dyDescent="0.25">
      <c r="A48" t="s">
        <v>196</v>
      </c>
      <c r="B48" s="7">
        <v>0.11045008543445156</v>
      </c>
      <c r="C48" s="7">
        <v>0.11268124675069266</v>
      </c>
      <c r="D48" t="s">
        <v>360</v>
      </c>
      <c r="E48" t="s">
        <v>273</v>
      </c>
    </row>
    <row r="49" spans="1:5" x14ac:dyDescent="0.25">
      <c r="A49" t="s">
        <v>197</v>
      </c>
      <c r="B49" s="7">
        <v>0.14097436497974652</v>
      </c>
      <c r="C49" s="7">
        <v>0.15262274790498609</v>
      </c>
      <c r="D49" t="s">
        <v>360</v>
      </c>
      <c r="E49" t="s">
        <v>273</v>
      </c>
    </row>
    <row r="50" spans="1:5" x14ac:dyDescent="0.25">
      <c r="A50" t="s">
        <v>198</v>
      </c>
      <c r="B50" s="7">
        <v>0.11147081711568224</v>
      </c>
      <c r="C50" s="7">
        <v>0.13067860897563169</v>
      </c>
      <c r="D50" t="s">
        <v>360</v>
      </c>
      <c r="E50" t="s">
        <v>273</v>
      </c>
    </row>
    <row r="51" spans="1:5" x14ac:dyDescent="0.25">
      <c r="A51" t="s">
        <v>199</v>
      </c>
      <c r="B51" s="7">
        <v>7.847788109397863E-2</v>
      </c>
      <c r="C51" s="7">
        <v>0.10087464753870228</v>
      </c>
      <c r="D51" t="s">
        <v>360</v>
      </c>
      <c r="E51" t="s">
        <v>273</v>
      </c>
    </row>
    <row r="52" spans="1:5" x14ac:dyDescent="0.25">
      <c r="A52" t="s">
        <v>200</v>
      </c>
      <c r="B52" s="7">
        <v>6.4480555700551112E-2</v>
      </c>
      <c r="C52" s="7">
        <v>9.8775496949314437E-2</v>
      </c>
      <c r="D52" t="s">
        <v>360</v>
      </c>
      <c r="E52" t="s">
        <v>273</v>
      </c>
    </row>
    <row r="53" spans="1:5" x14ac:dyDescent="0.25">
      <c r="A53" t="s">
        <v>201</v>
      </c>
      <c r="B53" s="7">
        <v>0.14273012216435094</v>
      </c>
      <c r="C53" s="7">
        <v>0.17703816986411569</v>
      </c>
      <c r="D53" t="s">
        <v>360</v>
      </c>
      <c r="E53" t="s">
        <v>273</v>
      </c>
    </row>
    <row r="54" spans="1:5" x14ac:dyDescent="0.25">
      <c r="A54" t="s">
        <v>202</v>
      </c>
      <c r="B54" s="7">
        <v>8.5036541044426248E-2</v>
      </c>
      <c r="C54" s="7">
        <v>0.11956753978120417</v>
      </c>
      <c r="D54" t="s">
        <v>360</v>
      </c>
      <c r="E54" t="s">
        <v>273</v>
      </c>
    </row>
    <row r="55" spans="1:5" x14ac:dyDescent="0.25">
      <c r="A55" t="s">
        <v>203</v>
      </c>
      <c r="B55" s="7">
        <v>0.13518978042442142</v>
      </c>
      <c r="C55" s="7">
        <v>0.17098677639818652</v>
      </c>
      <c r="D55" t="s">
        <v>360</v>
      </c>
      <c r="E55" t="s">
        <v>273</v>
      </c>
    </row>
    <row r="56" spans="1:5" x14ac:dyDescent="0.25">
      <c r="A56" t="s">
        <v>204</v>
      </c>
      <c r="B56" s="7">
        <v>5.1444712554926532E-2</v>
      </c>
      <c r="C56" s="7">
        <v>8.8012330802483371E-2</v>
      </c>
      <c r="D56" t="s">
        <v>360</v>
      </c>
      <c r="E56" t="s">
        <v>273</v>
      </c>
    </row>
    <row r="57" spans="1:5" x14ac:dyDescent="0.25">
      <c r="A57" t="s">
        <v>205</v>
      </c>
      <c r="B57" s="7">
        <v>9.4199657129976661E-2</v>
      </c>
      <c r="C57" s="7">
        <v>0.13094816385090158</v>
      </c>
      <c r="D57" t="s">
        <v>360</v>
      </c>
      <c r="E57" t="s">
        <v>273</v>
      </c>
    </row>
    <row r="58" spans="1:5" x14ac:dyDescent="0.25">
      <c r="A58" t="s">
        <v>206</v>
      </c>
      <c r="B58" s="7">
        <v>0.11028486839498244</v>
      </c>
      <c r="C58" s="7">
        <v>0.15475246175448981</v>
      </c>
      <c r="D58" t="s">
        <v>360</v>
      </c>
      <c r="E58" t="s">
        <v>273</v>
      </c>
    </row>
    <row r="59" spans="1:5" x14ac:dyDescent="0.25">
      <c r="A59" t="s">
        <v>207</v>
      </c>
      <c r="B59" s="7">
        <v>0.14368798259553855</v>
      </c>
      <c r="C59" s="7">
        <v>0.19255507756693663</v>
      </c>
      <c r="D59" t="s">
        <v>360</v>
      </c>
      <c r="E59" t="s">
        <v>273</v>
      </c>
    </row>
    <row r="60" spans="1:5" x14ac:dyDescent="0.25">
      <c r="A60" t="s">
        <v>208</v>
      </c>
      <c r="B60" s="7">
        <v>7.595199700502403E-2</v>
      </c>
      <c r="C60" s="7">
        <v>0.13221816611622719</v>
      </c>
      <c r="D60" t="s">
        <v>360</v>
      </c>
      <c r="E60" t="s">
        <v>273</v>
      </c>
    </row>
    <row r="61" spans="1:5" x14ac:dyDescent="0.25">
      <c r="A61" t="s">
        <v>209</v>
      </c>
      <c r="B61" s="7">
        <v>5.9949278163768424E-2</v>
      </c>
      <c r="C61" s="7">
        <v>0.11967101849850381</v>
      </c>
      <c r="D61" t="s">
        <v>360</v>
      </c>
      <c r="E61" t="s">
        <v>273</v>
      </c>
    </row>
    <row r="62" spans="1:5" x14ac:dyDescent="0.25">
      <c r="A62" t="s">
        <v>210</v>
      </c>
      <c r="B62" s="7">
        <v>5.2296080526729176E-2</v>
      </c>
      <c r="C62" s="7">
        <v>0.1126164561094323</v>
      </c>
      <c r="D62" t="s">
        <v>360</v>
      </c>
      <c r="E62" t="s">
        <v>273</v>
      </c>
    </row>
    <row r="63" spans="1:5" x14ac:dyDescent="0.25">
      <c r="A63" t="s">
        <v>211</v>
      </c>
      <c r="B63" s="7">
        <v>3.6772801250628512E-2</v>
      </c>
      <c r="C63" s="7">
        <v>0.10246731611961402</v>
      </c>
      <c r="D63" t="s">
        <v>360</v>
      </c>
      <c r="E63" t="s">
        <v>273</v>
      </c>
    </row>
    <row r="64" spans="1:5" x14ac:dyDescent="0.25">
      <c r="A64" t="s">
        <v>212</v>
      </c>
      <c r="B64" s="7">
        <v>0.1074167169141152</v>
      </c>
      <c r="C64" s="7">
        <v>0.17917321386844975</v>
      </c>
      <c r="D64" t="s">
        <v>360</v>
      </c>
      <c r="E64" t="s">
        <v>273</v>
      </c>
    </row>
    <row r="65" spans="1:5" x14ac:dyDescent="0.25">
      <c r="A65" t="s">
        <v>213</v>
      </c>
      <c r="B65" s="7">
        <v>5.7515076853805018E-2</v>
      </c>
      <c r="C65" s="7">
        <v>0.13263160601467436</v>
      </c>
      <c r="D65" t="s">
        <v>360</v>
      </c>
      <c r="E65" t="s">
        <v>273</v>
      </c>
    </row>
    <row r="66" spans="1:5" x14ac:dyDescent="0.25">
      <c r="A66" t="s">
        <v>214</v>
      </c>
      <c r="B66" s="7">
        <v>3.8544572599617841E-2</v>
      </c>
      <c r="C66" s="7">
        <v>0.12390527141136501</v>
      </c>
      <c r="D66" t="s">
        <v>360</v>
      </c>
      <c r="E66" t="s">
        <v>273</v>
      </c>
    </row>
    <row r="67" spans="1:5" x14ac:dyDescent="0.25">
      <c r="A67" t="s">
        <v>215</v>
      </c>
      <c r="B67" s="7">
        <v>2.5584069017487825E-2</v>
      </c>
      <c r="C67" s="7">
        <v>0.11389261360499474</v>
      </c>
      <c r="D67" t="s">
        <v>360</v>
      </c>
      <c r="E67" t="s">
        <v>273</v>
      </c>
    </row>
    <row r="68" spans="1:5" x14ac:dyDescent="0.25">
      <c r="A68" t="s">
        <v>216</v>
      </c>
      <c r="B68" s="7">
        <v>0.10714308277741877</v>
      </c>
      <c r="C68" s="7">
        <v>0.19598279513737513</v>
      </c>
      <c r="D68" t="s">
        <v>360</v>
      </c>
      <c r="E68" t="s">
        <v>273</v>
      </c>
    </row>
    <row r="69" spans="1:5" x14ac:dyDescent="0.25">
      <c r="A69" t="s">
        <v>217</v>
      </c>
      <c r="B69" s="7">
        <v>5.9280918324631289E-2</v>
      </c>
      <c r="C69" s="7">
        <v>0.15089995247236582</v>
      </c>
      <c r="D69" t="s">
        <v>360</v>
      </c>
      <c r="E69" t="s">
        <v>273</v>
      </c>
    </row>
    <row r="70" spans="1:5" x14ac:dyDescent="0.25">
      <c r="A70" t="s">
        <v>218</v>
      </c>
      <c r="B70" s="7">
        <v>8.3793697573532569E-2</v>
      </c>
      <c r="C70" s="7">
        <v>0.17845224054756589</v>
      </c>
      <c r="D70" t="s">
        <v>360</v>
      </c>
      <c r="E70" t="s">
        <v>273</v>
      </c>
    </row>
    <row r="71" spans="1:5" x14ac:dyDescent="0.25">
      <c r="A71" t="s">
        <v>219</v>
      </c>
      <c r="B71" s="7">
        <v>5.9907667198231485E-2</v>
      </c>
      <c r="C71" s="7">
        <v>0.16948150701935355</v>
      </c>
      <c r="D71" t="s">
        <v>360</v>
      </c>
      <c r="E71" t="s">
        <v>273</v>
      </c>
    </row>
    <row r="72" spans="1:5" x14ac:dyDescent="0.25">
      <c r="A72" t="s">
        <v>220</v>
      </c>
      <c r="B72" s="7">
        <v>1.4219949860877887E-2</v>
      </c>
      <c r="C72" s="7">
        <v>0.12409217785189659</v>
      </c>
      <c r="D72" t="s">
        <v>360</v>
      </c>
      <c r="E72" t="s">
        <v>273</v>
      </c>
    </row>
    <row r="73" spans="1:5" x14ac:dyDescent="0.25">
      <c r="A73" t="s">
        <v>221</v>
      </c>
      <c r="B73" s="7">
        <v>2.6634687047876002E-2</v>
      </c>
      <c r="C73" s="7">
        <v>0.13724158839734452</v>
      </c>
      <c r="D73" t="s">
        <v>360</v>
      </c>
      <c r="E73" t="s">
        <v>273</v>
      </c>
    </row>
    <row r="74" spans="1:5" x14ac:dyDescent="0.25">
      <c r="A74" t="s">
        <v>222</v>
      </c>
      <c r="B74" s="7">
        <v>0.12527186349641745</v>
      </c>
      <c r="C74" s="7">
        <v>0.24193752288389564</v>
      </c>
      <c r="D74" t="s">
        <v>360</v>
      </c>
      <c r="E74" t="s">
        <v>273</v>
      </c>
    </row>
    <row r="75" spans="1:5" x14ac:dyDescent="0.25">
      <c r="A75" t="s">
        <v>223</v>
      </c>
      <c r="B75" s="7">
        <v>6.0351084320323552E-2</v>
      </c>
      <c r="C75" s="7">
        <v>0.18795203915803763</v>
      </c>
      <c r="D75" t="s">
        <v>360</v>
      </c>
      <c r="E75" t="s">
        <v>273</v>
      </c>
    </row>
    <row r="76" spans="1:5" x14ac:dyDescent="0.25">
      <c r="A76" t="s">
        <v>224</v>
      </c>
      <c r="B76" s="7">
        <v>3.7895809397284525E-3</v>
      </c>
      <c r="C76" s="7">
        <v>0.13571258272645606</v>
      </c>
      <c r="D76" t="s">
        <v>360</v>
      </c>
      <c r="E76" t="s">
        <v>273</v>
      </c>
    </row>
    <row r="77" spans="1:5" x14ac:dyDescent="0.25">
      <c r="A77" t="s">
        <v>225</v>
      </c>
      <c r="B77" s="7">
        <v>1.3156461406292209E-2</v>
      </c>
      <c r="C77" s="7">
        <v>0.15034866455455898</v>
      </c>
      <c r="D77" t="s">
        <v>360</v>
      </c>
      <c r="E77" t="s">
        <v>273</v>
      </c>
    </row>
    <row r="78" spans="1:5" x14ac:dyDescent="0.25">
      <c r="A78" t="s">
        <v>226</v>
      </c>
      <c r="B78" s="7">
        <v>6.2048255618743685E-2</v>
      </c>
      <c r="C78" s="7">
        <v>0.20606924194814288</v>
      </c>
      <c r="D78" t="s">
        <v>360</v>
      </c>
      <c r="E78" t="s">
        <v>273</v>
      </c>
    </row>
    <row r="79" spans="1:5" x14ac:dyDescent="0.25">
      <c r="A79" t="s">
        <v>227</v>
      </c>
      <c r="B79" s="7">
        <v>0</v>
      </c>
      <c r="C79" s="7">
        <v>0.16347965993831001</v>
      </c>
      <c r="D79" t="s">
        <v>360</v>
      </c>
      <c r="E79" t="s">
        <v>273</v>
      </c>
    </row>
    <row r="80" spans="1:5" x14ac:dyDescent="0.25">
      <c r="A80" t="s">
        <v>228</v>
      </c>
      <c r="B80" s="7">
        <v>8.9806276584040917E-2</v>
      </c>
      <c r="C80" s="7">
        <v>0.26078666949292645</v>
      </c>
      <c r="D80" t="s">
        <v>360</v>
      </c>
      <c r="E80" t="s">
        <v>273</v>
      </c>
    </row>
    <row r="81" spans="1:5" x14ac:dyDescent="0.25">
      <c r="A81" t="s">
        <v>229</v>
      </c>
      <c r="B81" s="7">
        <v>7.9149742814974444E-2</v>
      </c>
      <c r="C81" s="7">
        <v>0.25153052025515349</v>
      </c>
      <c r="D81" t="s">
        <v>360</v>
      </c>
      <c r="E81" t="s">
        <v>273</v>
      </c>
    </row>
    <row r="82" spans="1:5" x14ac:dyDescent="0.25">
      <c r="A82" t="s">
        <v>230</v>
      </c>
      <c r="B82" s="7">
        <v>0.30683252077483708</v>
      </c>
      <c r="C82" s="7">
        <v>0</v>
      </c>
      <c r="D82" t="s">
        <v>360</v>
      </c>
      <c r="E82" t="s">
        <v>273</v>
      </c>
    </row>
    <row r="83" spans="1:5" x14ac:dyDescent="0.25">
      <c r="A83" t="s">
        <v>231</v>
      </c>
      <c r="B83" s="7">
        <v>0.28570840072274428</v>
      </c>
      <c r="C83" s="7">
        <v>2.6257685807053129E-2</v>
      </c>
      <c r="D83" t="s">
        <v>360</v>
      </c>
      <c r="E83" t="s">
        <v>273</v>
      </c>
    </row>
    <row r="84" spans="1:5" x14ac:dyDescent="0.25">
      <c r="A84" t="s">
        <v>232</v>
      </c>
      <c r="B84" s="7">
        <v>0.25889813937926159</v>
      </c>
      <c r="C84" s="7">
        <v>1.5372961269888023E-2</v>
      </c>
      <c r="D84" t="s">
        <v>360</v>
      </c>
      <c r="E84" t="s">
        <v>273</v>
      </c>
    </row>
    <row r="85" spans="1:5" x14ac:dyDescent="0.25">
      <c r="A85" t="s">
        <v>233</v>
      </c>
      <c r="B85" s="7">
        <v>0.27372588175306489</v>
      </c>
      <c r="C85" s="7">
        <v>5.3837150950309408E-2</v>
      </c>
      <c r="D85" t="s">
        <v>360</v>
      </c>
      <c r="E85" t="s">
        <v>273</v>
      </c>
    </row>
    <row r="86" spans="1:5" x14ac:dyDescent="0.25">
      <c r="A86" t="s">
        <v>234</v>
      </c>
      <c r="B86" s="7">
        <v>0.25646929430737331</v>
      </c>
      <c r="C86" s="7">
        <v>3.9828746600138167E-2</v>
      </c>
      <c r="D86" t="s">
        <v>360</v>
      </c>
      <c r="E86" t="s">
        <v>273</v>
      </c>
    </row>
    <row r="87" spans="1:5" x14ac:dyDescent="0.25">
      <c r="A87" t="s">
        <v>235</v>
      </c>
      <c r="B87" s="7">
        <v>0.23350291424013137</v>
      </c>
      <c r="C87" s="7">
        <v>1.7060961906789778E-2</v>
      </c>
      <c r="D87" t="s">
        <v>360</v>
      </c>
      <c r="E87" t="s">
        <v>273</v>
      </c>
    </row>
    <row r="88" spans="1:5" x14ac:dyDescent="0.25">
      <c r="A88" t="s">
        <v>236</v>
      </c>
      <c r="B88" s="7">
        <v>0.2696836649984522</v>
      </c>
      <c r="C88" s="7">
        <v>0.16951999781007415</v>
      </c>
      <c r="D88" t="s">
        <v>360</v>
      </c>
      <c r="E88" t="s">
        <v>273</v>
      </c>
    </row>
    <row r="89" spans="1:5" x14ac:dyDescent="0.25">
      <c r="A89" t="s">
        <v>237</v>
      </c>
      <c r="B89" s="7">
        <v>0.21243998318610963</v>
      </c>
      <c r="C89" s="7">
        <v>0.19237921622922116</v>
      </c>
      <c r="D89" t="s">
        <v>360</v>
      </c>
      <c r="E89" t="s">
        <v>273</v>
      </c>
    </row>
    <row r="90" spans="1:5" x14ac:dyDescent="0.25">
      <c r="A90" t="s">
        <v>238</v>
      </c>
      <c r="B90" s="7">
        <v>0.2146193884251438</v>
      </c>
      <c r="C90" s="7">
        <v>0.22217997789350571</v>
      </c>
      <c r="D90" t="s">
        <v>360</v>
      </c>
      <c r="E90" t="s">
        <v>273</v>
      </c>
    </row>
    <row r="91" spans="1:5" x14ac:dyDescent="0.25">
      <c r="A91" t="s">
        <v>239</v>
      </c>
      <c r="B91" s="7">
        <v>0.18648858197633356</v>
      </c>
      <c r="C91" s="7">
        <v>0.20626228811960784</v>
      </c>
      <c r="D91" t="s">
        <v>360</v>
      </c>
      <c r="E91" t="s">
        <v>273</v>
      </c>
    </row>
    <row r="92" spans="1:5" x14ac:dyDescent="0.25">
      <c r="A92" t="s">
        <v>240</v>
      </c>
      <c r="B92" s="7">
        <v>0.21963336347535303</v>
      </c>
      <c r="C92" s="7">
        <v>0.24267657902997455</v>
      </c>
      <c r="D92" t="s">
        <v>360</v>
      </c>
      <c r="E92" t="s">
        <v>273</v>
      </c>
    </row>
    <row r="93" spans="1:5" x14ac:dyDescent="0.25">
      <c r="A93" t="s">
        <v>241</v>
      </c>
      <c r="B93" s="7">
        <v>0.21012034909393248</v>
      </c>
      <c r="C93" s="7">
        <v>0.26482628671976222</v>
      </c>
      <c r="D93" t="s">
        <v>360</v>
      </c>
      <c r="E93" t="s">
        <v>273</v>
      </c>
    </row>
    <row r="94" spans="1:5" x14ac:dyDescent="0.25">
      <c r="A94" t="s">
        <v>242</v>
      </c>
      <c r="B94" s="7">
        <v>0.18512537256931841</v>
      </c>
      <c r="C94" s="7">
        <v>0.24393925221147186</v>
      </c>
      <c r="D94" t="s">
        <v>360</v>
      </c>
      <c r="E94" t="s">
        <v>273</v>
      </c>
    </row>
    <row r="95" spans="1:5" x14ac:dyDescent="0.25">
      <c r="A95" t="s">
        <v>243</v>
      </c>
      <c r="B95" s="7">
        <v>0.18302135871753755</v>
      </c>
      <c r="C95" s="7">
        <v>0.26578693406976639</v>
      </c>
      <c r="D95" t="s">
        <v>360</v>
      </c>
      <c r="E95" t="s">
        <v>273</v>
      </c>
    </row>
    <row r="96" spans="1:5" x14ac:dyDescent="0.25">
      <c r="A96" t="s">
        <v>244</v>
      </c>
      <c r="B96" s="7">
        <v>0.22422634888163942</v>
      </c>
      <c r="C96" s="7">
        <v>0.31817559586315258</v>
      </c>
      <c r="D96" t="s">
        <v>360</v>
      </c>
      <c r="E96" t="s">
        <v>273</v>
      </c>
    </row>
    <row r="97" spans="1:5" x14ac:dyDescent="0.25">
      <c r="A97" t="s">
        <v>245</v>
      </c>
      <c r="B97" s="7">
        <v>0.18268563078569428</v>
      </c>
      <c r="C97" s="7">
        <v>0.28392280006105014</v>
      </c>
      <c r="D97" t="s">
        <v>360</v>
      </c>
      <c r="E97" t="s">
        <v>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1"/>
  <sheetViews>
    <sheetView zoomScaleNormal="100" workbookViewId="0">
      <selection activeCell="I25" sqref="I25"/>
    </sheetView>
  </sheetViews>
  <sheetFormatPr defaultRowHeight="15" x14ac:dyDescent="0.25"/>
  <cols>
    <col min="1" max="1" width="10.5703125" bestFit="1" customWidth="1"/>
    <col min="2" max="2" width="7.28515625" bestFit="1" customWidth="1"/>
    <col min="3" max="4" width="12.7109375" bestFit="1" customWidth="1"/>
    <col min="5" max="5" width="12" bestFit="1" customWidth="1"/>
    <col min="6" max="6" width="12" customWidth="1"/>
    <col min="7" max="7" width="12" bestFit="1" customWidth="1"/>
    <col min="8" max="8" width="18" bestFit="1" customWidth="1"/>
    <col min="9" max="9" width="66.7109375" bestFit="1" customWidth="1"/>
    <col min="10" max="10" width="7.42578125" customWidth="1"/>
  </cols>
  <sheetData>
    <row r="1" spans="1:10" s="2" customFormat="1" ht="45" x14ac:dyDescent="0.25">
      <c r="A1" s="3" t="s">
        <v>4</v>
      </c>
      <c r="B1" s="3" t="s">
        <v>10</v>
      </c>
      <c r="C1" s="3" t="s">
        <v>5</v>
      </c>
      <c r="D1" s="3" t="s">
        <v>6</v>
      </c>
      <c r="E1" s="3" t="s">
        <v>300</v>
      </c>
      <c r="F1" s="3" t="s">
        <v>299</v>
      </c>
      <c r="G1" s="3" t="s">
        <v>301</v>
      </c>
      <c r="H1" s="3" t="s">
        <v>9</v>
      </c>
      <c r="I1" s="3" t="s">
        <v>320</v>
      </c>
      <c r="J1" s="3" t="s">
        <v>274</v>
      </c>
    </row>
    <row r="2" spans="1:10" x14ac:dyDescent="0.25">
      <c r="A2" t="s">
        <v>156</v>
      </c>
      <c r="B2" t="s">
        <v>16</v>
      </c>
      <c r="C2" s="7">
        <v>0.27013432797080494</v>
      </c>
      <c r="D2" s="7">
        <v>7.3204043643305766E-2</v>
      </c>
      <c r="E2">
        <f ca="1">ROUND(500*(1-(RAND()-0.5)*2*0.25),0)</f>
        <v>580</v>
      </c>
      <c r="F2">
        <f ca="1">ROUND(100*(1-(RAND()-0.5)*2*0.25),0)</f>
        <v>86</v>
      </c>
      <c r="G2">
        <f ca="1">ROUND(10000*(1-(RAND()-0.5)*2*0.25),0)</f>
        <v>9984</v>
      </c>
      <c r="H2" t="s">
        <v>332</v>
      </c>
      <c r="I2" t="s">
        <v>360</v>
      </c>
      <c r="J2" t="s">
        <v>17</v>
      </c>
    </row>
    <row r="3" spans="1:10" x14ac:dyDescent="0.25">
      <c r="A3" t="s">
        <v>157</v>
      </c>
      <c r="B3" t="s">
        <v>18</v>
      </c>
      <c r="C3" s="7">
        <v>0.25429680954247474</v>
      </c>
      <c r="D3" s="7">
        <v>6.3611940703968375E-2</v>
      </c>
      <c r="E3">
        <f t="shared" ref="E3:E66" ca="1" si="0">ROUND(500*(1-(RAND()-0.5)*2*0.25),0)</f>
        <v>533</v>
      </c>
      <c r="F3">
        <f t="shared" ref="F3:F66" ca="1" si="1">ROUND(100*(1-(RAND()-0.5)*2*0.25),0)</f>
        <v>87</v>
      </c>
      <c r="G3">
        <f t="shared" ref="G3:G66" ca="1" si="2">ROUND(10000*(1-(RAND()-0.5)*2*0.25),0)</f>
        <v>7529</v>
      </c>
      <c r="H3" t="s">
        <v>332</v>
      </c>
      <c r="I3" t="s">
        <v>360</v>
      </c>
      <c r="J3" t="s">
        <v>17</v>
      </c>
    </row>
    <row r="4" spans="1:10" x14ac:dyDescent="0.25">
      <c r="A4" t="s">
        <v>158</v>
      </c>
      <c r="B4" t="s">
        <v>19</v>
      </c>
      <c r="C4" s="7">
        <v>0.28082505908399019</v>
      </c>
      <c r="D4" s="7">
        <v>0.10081932193643058</v>
      </c>
      <c r="E4">
        <f t="shared" ca="1" si="0"/>
        <v>498</v>
      </c>
      <c r="F4">
        <f t="shared" ca="1" si="1"/>
        <v>93</v>
      </c>
      <c r="G4">
        <f t="shared" ca="1" si="2"/>
        <v>11268</v>
      </c>
      <c r="H4" t="s">
        <v>332</v>
      </c>
      <c r="I4" t="s">
        <v>360</v>
      </c>
      <c r="J4" t="s">
        <v>17</v>
      </c>
    </row>
    <row r="5" spans="1:10" x14ac:dyDescent="0.25">
      <c r="A5" t="s">
        <v>159</v>
      </c>
      <c r="B5" t="s">
        <v>20</v>
      </c>
      <c r="C5" s="7">
        <v>0.27308666162116457</v>
      </c>
      <c r="D5" s="7">
        <v>9.802297246221775E-2</v>
      </c>
      <c r="E5">
        <f t="shared" ca="1" si="0"/>
        <v>381</v>
      </c>
      <c r="F5">
        <f t="shared" ca="1" si="1"/>
        <v>81</v>
      </c>
      <c r="G5">
        <f t="shared" ca="1" si="2"/>
        <v>7560</v>
      </c>
      <c r="H5" t="s">
        <v>332</v>
      </c>
      <c r="I5" t="s">
        <v>360</v>
      </c>
      <c r="J5" t="s">
        <v>17</v>
      </c>
    </row>
    <row r="6" spans="1:10" x14ac:dyDescent="0.25">
      <c r="A6" t="s">
        <v>160</v>
      </c>
      <c r="B6" t="s">
        <v>21</v>
      </c>
      <c r="C6" s="7">
        <v>0.23584990287264404</v>
      </c>
      <c r="D6" s="7">
        <v>6.3042490860844277E-2</v>
      </c>
      <c r="E6">
        <f t="shared" ca="1" si="0"/>
        <v>544</v>
      </c>
      <c r="F6">
        <f t="shared" ca="1" si="1"/>
        <v>76</v>
      </c>
      <c r="G6">
        <f t="shared" ca="1" si="2"/>
        <v>11140</v>
      </c>
      <c r="H6" t="s">
        <v>332</v>
      </c>
      <c r="I6" t="s">
        <v>360</v>
      </c>
      <c r="J6" t="s">
        <v>17</v>
      </c>
    </row>
    <row r="7" spans="1:10" x14ac:dyDescent="0.25">
      <c r="A7" t="s">
        <v>161</v>
      </c>
      <c r="B7" t="s">
        <v>22</v>
      </c>
      <c r="C7" s="7">
        <v>0.19143187649003865</v>
      </c>
      <c r="D7" s="7">
        <v>2.2802748551129459E-2</v>
      </c>
      <c r="E7">
        <f t="shared" ca="1" si="0"/>
        <v>420</v>
      </c>
      <c r="F7">
        <f t="shared" ca="1" si="1"/>
        <v>92</v>
      </c>
      <c r="G7">
        <f t="shared" ca="1" si="2"/>
        <v>8258</v>
      </c>
      <c r="H7" t="s">
        <v>332</v>
      </c>
      <c r="I7" t="s">
        <v>360</v>
      </c>
      <c r="J7" t="s">
        <v>17</v>
      </c>
    </row>
    <row r="8" spans="1:10" x14ac:dyDescent="0.25">
      <c r="A8" t="s">
        <v>162</v>
      </c>
      <c r="B8" t="s">
        <v>23</v>
      </c>
      <c r="C8" s="7">
        <v>0.20528826343936921</v>
      </c>
      <c r="D8" s="7">
        <v>4.262797398486616E-2</v>
      </c>
      <c r="E8">
        <f t="shared" ca="1" si="0"/>
        <v>382</v>
      </c>
      <c r="F8">
        <f t="shared" ca="1" si="1"/>
        <v>94</v>
      </c>
      <c r="G8">
        <f t="shared" ca="1" si="2"/>
        <v>8581</v>
      </c>
      <c r="H8" t="s">
        <v>332</v>
      </c>
      <c r="I8" t="s">
        <v>360</v>
      </c>
      <c r="J8" t="s">
        <v>17</v>
      </c>
    </row>
    <row r="9" spans="1:10" x14ac:dyDescent="0.25">
      <c r="A9" t="s">
        <v>163</v>
      </c>
      <c r="B9" t="s">
        <v>24</v>
      </c>
      <c r="C9" s="7">
        <v>0.27511288105019271</v>
      </c>
      <c r="D9" s="7">
        <v>0.11504729795597352</v>
      </c>
      <c r="E9">
        <f t="shared" ca="1" si="0"/>
        <v>515</v>
      </c>
      <c r="F9">
        <f t="shared" ca="1" si="1"/>
        <v>119</v>
      </c>
      <c r="G9">
        <f t="shared" ca="1" si="2"/>
        <v>8066</v>
      </c>
      <c r="H9" t="s">
        <v>332</v>
      </c>
      <c r="I9" t="s">
        <v>360</v>
      </c>
      <c r="J9" t="s">
        <v>17</v>
      </c>
    </row>
    <row r="10" spans="1:10" x14ac:dyDescent="0.25">
      <c r="A10" t="s">
        <v>164</v>
      </c>
      <c r="B10" t="s">
        <v>25</v>
      </c>
      <c r="C10" s="7">
        <v>0.25546902713798958</v>
      </c>
      <c r="D10" s="7">
        <v>9.8100508945817719E-2</v>
      </c>
      <c r="E10">
        <f t="shared" ca="1" si="0"/>
        <v>384</v>
      </c>
      <c r="F10">
        <f t="shared" ca="1" si="1"/>
        <v>108</v>
      </c>
      <c r="G10">
        <f t="shared" ca="1" si="2"/>
        <v>9304</v>
      </c>
      <c r="H10" t="s">
        <v>332</v>
      </c>
      <c r="I10" t="s">
        <v>360</v>
      </c>
      <c r="J10" t="s">
        <v>17</v>
      </c>
    </row>
    <row r="11" spans="1:10" x14ac:dyDescent="0.25">
      <c r="A11" t="s">
        <v>165</v>
      </c>
      <c r="B11" t="s">
        <v>26</v>
      </c>
      <c r="C11" s="7">
        <v>0.23699713452896384</v>
      </c>
      <c r="D11" s="7">
        <v>8.1003416595766431E-2</v>
      </c>
      <c r="E11">
        <f t="shared" ca="1" si="0"/>
        <v>416</v>
      </c>
      <c r="F11">
        <f t="shared" ca="1" si="1"/>
        <v>102</v>
      </c>
      <c r="G11">
        <f t="shared" ca="1" si="2"/>
        <v>11907</v>
      </c>
      <c r="H11" t="s">
        <v>332</v>
      </c>
      <c r="I11" t="s">
        <v>360</v>
      </c>
      <c r="J11" t="s">
        <v>17</v>
      </c>
    </row>
    <row r="12" spans="1:10" x14ac:dyDescent="0.25">
      <c r="A12" t="s">
        <v>166</v>
      </c>
      <c r="B12" t="s">
        <v>27</v>
      </c>
      <c r="C12" s="7">
        <v>0.28065554056458791</v>
      </c>
      <c r="D12" s="7">
        <v>0.13282859944331779</v>
      </c>
      <c r="E12">
        <f t="shared" ca="1" si="0"/>
        <v>601</v>
      </c>
      <c r="F12">
        <f t="shared" ca="1" si="1"/>
        <v>93</v>
      </c>
      <c r="G12">
        <f t="shared" ca="1" si="2"/>
        <v>8213</v>
      </c>
      <c r="H12" t="s">
        <v>332</v>
      </c>
      <c r="I12" t="s">
        <v>360</v>
      </c>
      <c r="J12" t="s">
        <v>17</v>
      </c>
    </row>
    <row r="13" spans="1:10" x14ac:dyDescent="0.25">
      <c r="A13" t="s">
        <v>167</v>
      </c>
      <c r="B13" t="s">
        <v>28</v>
      </c>
      <c r="C13" s="7">
        <v>0.17444734323260741</v>
      </c>
      <c r="D13" s="7">
        <v>3.1176160625192417E-2</v>
      </c>
      <c r="E13">
        <f t="shared" ca="1" si="0"/>
        <v>576</v>
      </c>
      <c r="F13">
        <f t="shared" ca="1" si="1"/>
        <v>82</v>
      </c>
      <c r="G13">
        <f t="shared" ca="1" si="2"/>
        <v>11391</v>
      </c>
      <c r="H13" t="s">
        <v>332</v>
      </c>
      <c r="I13" t="s">
        <v>360</v>
      </c>
      <c r="J13" t="s">
        <v>17</v>
      </c>
    </row>
    <row r="14" spans="1:10" x14ac:dyDescent="0.25">
      <c r="A14" t="s">
        <v>168</v>
      </c>
      <c r="B14" t="s">
        <v>29</v>
      </c>
      <c r="C14" s="7">
        <v>0.27565362038764335</v>
      </c>
      <c r="D14" s="7">
        <v>0.13412225256764598</v>
      </c>
      <c r="E14">
        <f t="shared" ca="1" si="0"/>
        <v>450</v>
      </c>
      <c r="F14">
        <f t="shared" ca="1" si="1"/>
        <v>107</v>
      </c>
      <c r="G14">
        <f t="shared" ca="1" si="2"/>
        <v>11239</v>
      </c>
      <c r="H14" t="s">
        <v>332</v>
      </c>
      <c r="I14" t="s">
        <v>360</v>
      </c>
      <c r="J14" t="s">
        <v>17</v>
      </c>
    </row>
    <row r="15" spans="1:10" x14ac:dyDescent="0.25">
      <c r="A15" t="s">
        <v>169</v>
      </c>
      <c r="B15" t="s">
        <v>30</v>
      </c>
      <c r="C15" s="7">
        <v>0.25659512715236371</v>
      </c>
      <c r="D15" s="7">
        <v>0.11603373222020288</v>
      </c>
      <c r="E15">
        <f t="shared" ca="1" si="0"/>
        <v>529</v>
      </c>
      <c r="F15">
        <f t="shared" ca="1" si="1"/>
        <v>124</v>
      </c>
      <c r="G15">
        <f t="shared" ca="1" si="2"/>
        <v>10058</v>
      </c>
      <c r="H15" t="s">
        <v>332</v>
      </c>
      <c r="I15" t="s">
        <v>360</v>
      </c>
      <c r="J15" t="s">
        <v>17</v>
      </c>
    </row>
    <row r="16" spans="1:10" x14ac:dyDescent="0.25">
      <c r="A16" t="s">
        <v>170</v>
      </c>
      <c r="B16" t="s">
        <v>31</v>
      </c>
      <c r="C16" s="7">
        <v>0.23801715776197702</v>
      </c>
      <c r="D16" s="7">
        <v>9.8132917028078567E-2</v>
      </c>
      <c r="E16">
        <f t="shared" ca="1" si="0"/>
        <v>429</v>
      </c>
      <c r="F16">
        <f t="shared" ca="1" si="1"/>
        <v>88</v>
      </c>
      <c r="G16">
        <f t="shared" ca="1" si="2"/>
        <v>12003</v>
      </c>
      <c r="H16" t="s">
        <v>332</v>
      </c>
      <c r="I16" t="s">
        <v>360</v>
      </c>
      <c r="J16" t="s">
        <v>17</v>
      </c>
    </row>
    <row r="17" spans="1:10" x14ac:dyDescent="0.25">
      <c r="A17" t="s">
        <v>171</v>
      </c>
      <c r="B17" t="s">
        <v>32</v>
      </c>
      <c r="C17" s="7">
        <v>0.200892434735706</v>
      </c>
      <c r="D17" s="7">
        <v>6.372017279027202E-2</v>
      </c>
      <c r="E17">
        <f t="shared" ca="1" si="0"/>
        <v>396</v>
      </c>
      <c r="F17">
        <f t="shared" ca="1" si="1"/>
        <v>77</v>
      </c>
      <c r="G17">
        <f t="shared" ca="1" si="2"/>
        <v>11148</v>
      </c>
      <c r="H17" t="s">
        <v>332</v>
      </c>
      <c r="I17" t="s">
        <v>360</v>
      </c>
      <c r="J17" t="s">
        <v>17</v>
      </c>
    </row>
    <row r="18" spans="1:10" x14ac:dyDescent="0.25">
      <c r="A18" t="s">
        <v>172</v>
      </c>
      <c r="B18" t="s">
        <v>33</v>
      </c>
      <c r="C18" s="7">
        <v>0.17787242428236358</v>
      </c>
      <c r="D18" s="7">
        <v>4.8737635642106439E-2</v>
      </c>
      <c r="E18">
        <f t="shared" ca="1" si="0"/>
        <v>502</v>
      </c>
      <c r="F18">
        <f t="shared" ca="1" si="1"/>
        <v>79</v>
      </c>
      <c r="G18">
        <f t="shared" ca="1" si="2"/>
        <v>9026</v>
      </c>
      <c r="H18" t="s">
        <v>332</v>
      </c>
      <c r="I18" t="s">
        <v>360</v>
      </c>
      <c r="J18" t="s">
        <v>17</v>
      </c>
    </row>
    <row r="19" spans="1:10" x14ac:dyDescent="0.25">
      <c r="A19" t="s">
        <v>173</v>
      </c>
      <c r="B19" t="s">
        <v>34</v>
      </c>
      <c r="C19" s="7">
        <v>0.25756947986452944</v>
      </c>
      <c r="D19" s="7">
        <v>0.13406344689160302</v>
      </c>
      <c r="E19">
        <f t="shared" ca="1" si="0"/>
        <v>557</v>
      </c>
      <c r="F19">
        <f t="shared" ca="1" si="1"/>
        <v>106</v>
      </c>
      <c r="G19">
        <f t="shared" ca="1" si="2"/>
        <v>11503</v>
      </c>
      <c r="H19" t="s">
        <v>332</v>
      </c>
      <c r="I19" t="s">
        <v>360</v>
      </c>
      <c r="J19" t="s">
        <v>17</v>
      </c>
    </row>
    <row r="20" spans="1:10" x14ac:dyDescent="0.25">
      <c r="A20" t="s">
        <v>174</v>
      </c>
      <c r="B20" t="s">
        <v>35</v>
      </c>
      <c r="C20" s="7">
        <v>0.21857188626034665</v>
      </c>
      <c r="D20" s="7">
        <v>9.5557196332085217E-2</v>
      </c>
      <c r="E20">
        <f t="shared" ca="1" si="0"/>
        <v>450</v>
      </c>
      <c r="F20">
        <f t="shared" ca="1" si="1"/>
        <v>84</v>
      </c>
      <c r="G20">
        <f t="shared" ca="1" si="2"/>
        <v>9162</v>
      </c>
      <c r="H20" t="s">
        <v>332</v>
      </c>
      <c r="I20" t="s">
        <v>360</v>
      </c>
      <c r="J20" t="s">
        <v>17</v>
      </c>
    </row>
    <row r="21" spans="1:10" x14ac:dyDescent="0.25">
      <c r="A21" t="s">
        <v>175</v>
      </c>
      <c r="B21" t="s">
        <v>36</v>
      </c>
      <c r="C21" s="7">
        <v>0.2757969748931241</v>
      </c>
      <c r="D21" s="7">
        <v>0.15682644145153954</v>
      </c>
      <c r="E21">
        <f t="shared" ca="1" si="0"/>
        <v>507</v>
      </c>
      <c r="F21">
        <f t="shared" ca="1" si="1"/>
        <v>100</v>
      </c>
      <c r="G21">
        <f t="shared" ca="1" si="2"/>
        <v>10216</v>
      </c>
      <c r="H21" t="s">
        <v>332</v>
      </c>
      <c r="I21" t="s">
        <v>360</v>
      </c>
      <c r="J21" t="s">
        <v>17</v>
      </c>
    </row>
    <row r="22" spans="1:10" x14ac:dyDescent="0.25">
      <c r="A22" t="s">
        <v>176</v>
      </c>
      <c r="B22" t="s">
        <v>37</v>
      </c>
      <c r="C22" s="7">
        <v>0.16244542703216663</v>
      </c>
      <c r="D22" s="7">
        <v>4.4479557439643387E-2</v>
      </c>
      <c r="E22">
        <f t="shared" ca="1" si="0"/>
        <v>465</v>
      </c>
      <c r="F22">
        <f t="shared" ca="1" si="1"/>
        <v>117</v>
      </c>
      <c r="G22">
        <f t="shared" ca="1" si="2"/>
        <v>9520</v>
      </c>
      <c r="H22" t="s">
        <v>332</v>
      </c>
      <c r="I22" t="s">
        <v>360</v>
      </c>
      <c r="J22" t="s">
        <v>17</v>
      </c>
    </row>
    <row r="23" spans="1:10" x14ac:dyDescent="0.25">
      <c r="A23" t="s">
        <v>177</v>
      </c>
      <c r="B23" t="s">
        <v>38</v>
      </c>
      <c r="C23" s="7">
        <v>0.17112495028405206</v>
      </c>
      <c r="D23" s="7">
        <v>5.7891398954163099E-2</v>
      </c>
      <c r="E23">
        <f t="shared" ca="1" si="0"/>
        <v>481</v>
      </c>
      <c r="F23">
        <f t="shared" ca="1" si="1"/>
        <v>111</v>
      </c>
      <c r="G23">
        <f t="shared" ca="1" si="2"/>
        <v>11109</v>
      </c>
      <c r="H23" t="s">
        <v>332</v>
      </c>
      <c r="I23" t="s">
        <v>360</v>
      </c>
      <c r="J23" t="s">
        <v>17</v>
      </c>
    </row>
    <row r="24" spans="1:10" x14ac:dyDescent="0.25">
      <c r="A24" t="s">
        <v>178</v>
      </c>
      <c r="B24" t="s">
        <v>39</v>
      </c>
      <c r="C24" s="7">
        <v>0.23031507496233866</v>
      </c>
      <c r="D24" s="7">
        <v>0.11804797045726227</v>
      </c>
      <c r="E24">
        <f t="shared" ca="1" si="0"/>
        <v>389</v>
      </c>
      <c r="F24">
        <f t="shared" ca="1" si="1"/>
        <v>109</v>
      </c>
      <c r="G24">
        <f t="shared" ca="1" si="2"/>
        <v>11790</v>
      </c>
      <c r="H24" t="s">
        <v>332</v>
      </c>
      <c r="I24" t="s">
        <v>360</v>
      </c>
      <c r="J24" t="s">
        <v>17</v>
      </c>
    </row>
    <row r="25" spans="1:10" x14ac:dyDescent="0.25">
      <c r="A25" t="s">
        <v>179</v>
      </c>
      <c r="B25" t="s">
        <v>40</v>
      </c>
      <c r="C25" s="7">
        <v>0.19856824119401539</v>
      </c>
      <c r="D25" s="7">
        <v>8.6920969755843583E-2</v>
      </c>
      <c r="E25">
        <f t="shared" ca="1" si="0"/>
        <v>428</v>
      </c>
      <c r="F25">
        <f t="shared" ca="1" si="1"/>
        <v>106</v>
      </c>
      <c r="G25">
        <f t="shared" ca="1" si="2"/>
        <v>11978</v>
      </c>
      <c r="H25" t="s">
        <v>332</v>
      </c>
      <c r="I25" t="s">
        <v>360</v>
      </c>
      <c r="J25" t="s">
        <v>17</v>
      </c>
    </row>
    <row r="26" spans="1:10" x14ac:dyDescent="0.25">
      <c r="A26" t="s">
        <v>180</v>
      </c>
      <c r="B26" t="s">
        <v>41</v>
      </c>
      <c r="C26" s="7">
        <v>0.1702479571796994</v>
      </c>
      <c r="D26" s="7">
        <v>6.6637804022887409E-2</v>
      </c>
      <c r="E26">
        <f t="shared" ca="1" si="0"/>
        <v>388</v>
      </c>
      <c r="F26">
        <f t="shared" ca="1" si="1"/>
        <v>115</v>
      </c>
      <c r="G26">
        <f t="shared" ca="1" si="2"/>
        <v>11581</v>
      </c>
      <c r="H26" t="s">
        <v>332</v>
      </c>
      <c r="I26" t="s">
        <v>360</v>
      </c>
      <c r="J26" t="s">
        <v>17</v>
      </c>
    </row>
    <row r="27" spans="1:10" x14ac:dyDescent="0.25">
      <c r="A27" t="s">
        <v>181</v>
      </c>
      <c r="B27" t="s">
        <v>42</v>
      </c>
      <c r="C27" s="7">
        <v>0.23303376822176777</v>
      </c>
      <c r="D27" s="7">
        <v>0.13493855767342378</v>
      </c>
      <c r="E27">
        <f t="shared" ca="1" si="0"/>
        <v>394</v>
      </c>
      <c r="F27">
        <f t="shared" ca="1" si="1"/>
        <v>123</v>
      </c>
      <c r="G27">
        <f t="shared" ca="1" si="2"/>
        <v>12246</v>
      </c>
      <c r="H27" t="s">
        <v>332</v>
      </c>
      <c r="I27" t="s">
        <v>360</v>
      </c>
      <c r="J27" t="s">
        <v>17</v>
      </c>
    </row>
    <row r="28" spans="1:10" x14ac:dyDescent="0.25">
      <c r="A28" t="s">
        <v>182</v>
      </c>
      <c r="B28" t="s">
        <v>43</v>
      </c>
      <c r="C28" s="7">
        <v>0.14102866197709593</v>
      </c>
      <c r="D28" s="7">
        <v>4.8789092839941567E-2</v>
      </c>
      <c r="E28">
        <f t="shared" ca="1" si="0"/>
        <v>594</v>
      </c>
      <c r="F28">
        <f t="shared" ca="1" si="1"/>
        <v>87</v>
      </c>
      <c r="G28">
        <f t="shared" ca="1" si="2"/>
        <v>11232</v>
      </c>
      <c r="H28" t="s">
        <v>332</v>
      </c>
      <c r="I28" t="s">
        <v>360</v>
      </c>
      <c r="J28" t="s">
        <v>17</v>
      </c>
    </row>
    <row r="29" spans="1:10" x14ac:dyDescent="0.25">
      <c r="A29" t="s">
        <v>183</v>
      </c>
      <c r="B29" t="s">
        <v>44</v>
      </c>
      <c r="C29" s="7">
        <v>0.1531529631200356</v>
      </c>
      <c r="D29" s="7">
        <v>6.1446564054086161E-2</v>
      </c>
      <c r="E29">
        <f t="shared" ca="1" si="0"/>
        <v>420</v>
      </c>
      <c r="F29">
        <f t="shared" ca="1" si="1"/>
        <v>122</v>
      </c>
      <c r="G29">
        <f t="shared" ca="1" si="2"/>
        <v>7780</v>
      </c>
      <c r="H29" t="s">
        <v>332</v>
      </c>
      <c r="I29" t="s">
        <v>360</v>
      </c>
      <c r="J29" t="s">
        <v>17</v>
      </c>
    </row>
    <row r="30" spans="1:10" x14ac:dyDescent="0.25">
      <c r="A30" t="s">
        <v>184</v>
      </c>
      <c r="B30" t="s">
        <v>45</v>
      </c>
      <c r="C30" s="7">
        <v>0.20219982921880231</v>
      </c>
      <c r="D30" s="7">
        <v>0.11816043582932324</v>
      </c>
      <c r="E30">
        <f t="shared" ca="1" si="0"/>
        <v>452</v>
      </c>
      <c r="F30">
        <f t="shared" ca="1" si="1"/>
        <v>86</v>
      </c>
      <c r="G30">
        <f t="shared" ca="1" si="2"/>
        <v>11557</v>
      </c>
      <c r="H30" t="s">
        <v>332</v>
      </c>
      <c r="I30" t="s">
        <v>360</v>
      </c>
      <c r="J30" t="s">
        <v>17</v>
      </c>
    </row>
    <row r="31" spans="1:10" x14ac:dyDescent="0.25">
      <c r="A31" t="s">
        <v>185</v>
      </c>
      <c r="B31" t="s">
        <v>46</v>
      </c>
      <c r="C31" s="7">
        <v>0.27096343614434065</v>
      </c>
      <c r="D31" s="7">
        <v>0.18802970029931637</v>
      </c>
      <c r="E31">
        <f t="shared" ca="1" si="0"/>
        <v>417</v>
      </c>
      <c r="F31">
        <f t="shared" ca="1" si="1"/>
        <v>107</v>
      </c>
      <c r="G31">
        <f t="shared" ca="1" si="2"/>
        <v>11041</v>
      </c>
      <c r="H31" t="s">
        <v>332</v>
      </c>
      <c r="I31" t="s">
        <v>360</v>
      </c>
      <c r="J31" t="s">
        <v>17</v>
      </c>
    </row>
    <row r="32" spans="1:10" x14ac:dyDescent="0.25">
      <c r="A32" t="s">
        <v>186</v>
      </c>
      <c r="B32" t="s">
        <v>47</v>
      </c>
      <c r="C32" s="7">
        <v>0.21567232177068199</v>
      </c>
      <c r="D32" s="7">
        <v>0.13346736134625239</v>
      </c>
      <c r="E32">
        <f t="shared" ca="1" si="0"/>
        <v>559</v>
      </c>
      <c r="F32">
        <f t="shared" ca="1" si="1"/>
        <v>102</v>
      </c>
      <c r="G32">
        <f t="shared" ca="1" si="2"/>
        <v>7778</v>
      </c>
      <c r="H32" t="s">
        <v>332</v>
      </c>
      <c r="I32" t="s">
        <v>360</v>
      </c>
      <c r="J32" t="s">
        <v>17</v>
      </c>
    </row>
    <row r="33" spans="1:10" x14ac:dyDescent="0.25">
      <c r="A33" t="s">
        <v>187</v>
      </c>
      <c r="B33" t="s">
        <v>48</v>
      </c>
      <c r="C33" s="7">
        <v>0.17496421584617086</v>
      </c>
      <c r="D33" s="7">
        <v>0.10037417770590583</v>
      </c>
      <c r="E33">
        <f t="shared" ca="1" si="0"/>
        <v>486</v>
      </c>
      <c r="F33">
        <f t="shared" ca="1" si="1"/>
        <v>89</v>
      </c>
      <c r="G33">
        <f t="shared" ca="1" si="2"/>
        <v>10957</v>
      </c>
      <c r="H33" t="s">
        <v>332</v>
      </c>
      <c r="I33" t="s">
        <v>360</v>
      </c>
      <c r="J33" t="s">
        <v>17</v>
      </c>
    </row>
    <row r="34" spans="1:10" x14ac:dyDescent="0.25">
      <c r="A34" t="s">
        <v>188</v>
      </c>
      <c r="B34" t="s">
        <v>49</v>
      </c>
      <c r="C34" s="7">
        <v>0.22665496622836201</v>
      </c>
      <c r="D34" s="7">
        <v>0.1523833772813471</v>
      </c>
      <c r="E34">
        <f t="shared" ca="1" si="0"/>
        <v>513</v>
      </c>
      <c r="F34">
        <f t="shared" ca="1" si="1"/>
        <v>96</v>
      </c>
      <c r="G34">
        <f t="shared" ca="1" si="2"/>
        <v>9900</v>
      </c>
      <c r="H34" t="s">
        <v>332</v>
      </c>
      <c r="I34" t="s">
        <v>360</v>
      </c>
      <c r="J34" t="s">
        <v>17</v>
      </c>
    </row>
    <row r="35" spans="1:10" x14ac:dyDescent="0.25">
      <c r="A35" t="s">
        <v>189</v>
      </c>
      <c r="B35" t="s">
        <v>50</v>
      </c>
      <c r="C35" s="7">
        <v>0.2532239980700034</v>
      </c>
      <c r="D35" s="7">
        <v>0.18447012454739442</v>
      </c>
      <c r="E35">
        <f t="shared" ca="1" si="0"/>
        <v>419</v>
      </c>
      <c r="F35">
        <f t="shared" ca="1" si="1"/>
        <v>76</v>
      </c>
      <c r="G35">
        <f t="shared" ca="1" si="2"/>
        <v>9943</v>
      </c>
      <c r="H35" t="s">
        <v>332</v>
      </c>
      <c r="I35" t="s">
        <v>360</v>
      </c>
      <c r="J35" t="s">
        <v>17</v>
      </c>
    </row>
    <row r="36" spans="1:10" x14ac:dyDescent="0.25">
      <c r="A36" t="s">
        <v>190</v>
      </c>
      <c r="B36" t="s">
        <v>51</v>
      </c>
      <c r="C36" s="7">
        <v>0.21299146064343635</v>
      </c>
      <c r="D36" s="7">
        <v>0.15655166664517334</v>
      </c>
      <c r="E36">
        <f t="shared" ca="1" si="0"/>
        <v>400</v>
      </c>
      <c r="F36">
        <f t="shared" ca="1" si="1"/>
        <v>110</v>
      </c>
      <c r="G36">
        <f t="shared" ca="1" si="2"/>
        <v>9184</v>
      </c>
      <c r="H36" t="s">
        <v>332</v>
      </c>
      <c r="I36" t="s">
        <v>360</v>
      </c>
      <c r="J36" t="s">
        <v>17</v>
      </c>
    </row>
    <row r="37" spans="1:10" x14ac:dyDescent="0.25">
      <c r="A37" t="s">
        <v>191</v>
      </c>
      <c r="B37" t="s">
        <v>52</v>
      </c>
      <c r="C37" s="7">
        <v>0.17586462144688234</v>
      </c>
      <c r="D37" s="7">
        <v>0.1233746742338052</v>
      </c>
      <c r="E37">
        <f t="shared" ca="1" si="0"/>
        <v>448</v>
      </c>
      <c r="F37">
        <f t="shared" ca="1" si="1"/>
        <v>107</v>
      </c>
      <c r="G37">
        <f t="shared" ca="1" si="2"/>
        <v>12226</v>
      </c>
      <c r="H37" t="s">
        <v>332</v>
      </c>
      <c r="I37" t="s">
        <v>360</v>
      </c>
      <c r="J37" t="s">
        <v>17</v>
      </c>
    </row>
    <row r="38" spans="1:10" x14ac:dyDescent="0.25">
      <c r="A38" t="s">
        <v>192</v>
      </c>
      <c r="B38" t="s">
        <v>53</v>
      </c>
      <c r="C38" s="7">
        <v>0.14023982826204337</v>
      </c>
      <c r="D38" s="7">
        <v>0.1036260364453972</v>
      </c>
      <c r="E38">
        <f t="shared" ca="1" si="0"/>
        <v>411</v>
      </c>
      <c r="F38">
        <f t="shared" ca="1" si="1"/>
        <v>81</v>
      </c>
      <c r="G38">
        <f t="shared" ca="1" si="2"/>
        <v>8190</v>
      </c>
      <c r="H38" t="s">
        <v>332</v>
      </c>
      <c r="I38" t="s">
        <v>360</v>
      </c>
      <c r="J38" t="s">
        <v>17</v>
      </c>
    </row>
    <row r="39" spans="1:10" x14ac:dyDescent="0.25">
      <c r="A39" t="s">
        <v>193</v>
      </c>
      <c r="B39" t="s">
        <v>54</v>
      </c>
      <c r="C39" s="7">
        <v>0.21752687223418124</v>
      </c>
      <c r="D39" s="7">
        <v>0.18099198131414115</v>
      </c>
      <c r="E39">
        <f t="shared" ca="1" si="0"/>
        <v>394</v>
      </c>
      <c r="F39">
        <f t="shared" ca="1" si="1"/>
        <v>107</v>
      </c>
      <c r="G39">
        <f t="shared" ca="1" si="2"/>
        <v>11882</v>
      </c>
      <c r="H39" t="s">
        <v>332</v>
      </c>
      <c r="I39" t="s">
        <v>360</v>
      </c>
      <c r="J39" t="s">
        <v>17</v>
      </c>
    </row>
    <row r="40" spans="1:10" x14ac:dyDescent="0.25">
      <c r="A40" t="s">
        <v>194</v>
      </c>
      <c r="B40" t="s">
        <v>55</v>
      </c>
      <c r="C40" s="7">
        <v>0.13939605877631273</v>
      </c>
      <c r="D40" s="7">
        <v>0.12411576340680411</v>
      </c>
      <c r="E40">
        <f t="shared" ca="1" si="0"/>
        <v>564</v>
      </c>
      <c r="F40">
        <f t="shared" ca="1" si="1"/>
        <v>118</v>
      </c>
      <c r="G40">
        <f t="shared" ca="1" si="2"/>
        <v>8222</v>
      </c>
      <c r="H40" t="s">
        <v>332</v>
      </c>
      <c r="I40" t="s">
        <v>360</v>
      </c>
      <c r="J40" t="s">
        <v>17</v>
      </c>
    </row>
    <row r="41" spans="1:10" x14ac:dyDescent="0.25">
      <c r="A41" t="s">
        <v>195</v>
      </c>
      <c r="B41" t="s">
        <v>56</v>
      </c>
      <c r="C41" s="7">
        <v>0.17855849819127065</v>
      </c>
      <c r="D41" s="7">
        <v>0.17145960934044818</v>
      </c>
      <c r="E41">
        <f t="shared" ca="1" si="0"/>
        <v>439</v>
      </c>
      <c r="F41">
        <f t="shared" ca="1" si="1"/>
        <v>83</v>
      </c>
      <c r="G41">
        <f t="shared" ca="1" si="2"/>
        <v>10305</v>
      </c>
      <c r="H41" t="s">
        <v>332</v>
      </c>
      <c r="I41" t="s">
        <v>360</v>
      </c>
      <c r="J41" t="s">
        <v>17</v>
      </c>
    </row>
    <row r="42" spans="1:10" x14ac:dyDescent="0.25">
      <c r="A42" t="s">
        <v>196</v>
      </c>
      <c r="B42" t="s">
        <v>57</v>
      </c>
      <c r="C42" s="7">
        <v>0.11045008543445156</v>
      </c>
      <c r="D42" s="7">
        <v>0.11268124675069266</v>
      </c>
      <c r="E42">
        <f t="shared" ca="1" si="0"/>
        <v>542</v>
      </c>
      <c r="F42">
        <f t="shared" ca="1" si="1"/>
        <v>95</v>
      </c>
      <c r="G42">
        <f t="shared" ca="1" si="2"/>
        <v>9129</v>
      </c>
      <c r="H42" t="s">
        <v>332</v>
      </c>
      <c r="I42" t="s">
        <v>360</v>
      </c>
      <c r="J42" t="s">
        <v>17</v>
      </c>
    </row>
    <row r="43" spans="1:10" x14ac:dyDescent="0.25">
      <c r="A43" t="s">
        <v>197</v>
      </c>
      <c r="B43" t="s">
        <v>58</v>
      </c>
      <c r="C43" s="7">
        <v>0.14097436497974652</v>
      </c>
      <c r="D43" s="7">
        <v>0.15262274790498609</v>
      </c>
      <c r="E43">
        <f t="shared" ca="1" si="0"/>
        <v>516</v>
      </c>
      <c r="F43">
        <f t="shared" ca="1" si="1"/>
        <v>95</v>
      </c>
      <c r="G43">
        <f t="shared" ca="1" si="2"/>
        <v>8626</v>
      </c>
      <c r="H43" t="s">
        <v>332</v>
      </c>
      <c r="I43" t="s">
        <v>360</v>
      </c>
      <c r="J43" t="s">
        <v>17</v>
      </c>
    </row>
    <row r="44" spans="1:10" x14ac:dyDescent="0.25">
      <c r="A44" t="s">
        <v>198</v>
      </c>
      <c r="B44" t="s">
        <v>59</v>
      </c>
      <c r="C44" s="7">
        <v>0.11147081711568224</v>
      </c>
      <c r="D44" s="7">
        <v>0.13067860897563169</v>
      </c>
      <c r="E44">
        <f t="shared" ca="1" si="0"/>
        <v>445</v>
      </c>
      <c r="F44">
        <f t="shared" ca="1" si="1"/>
        <v>84</v>
      </c>
      <c r="G44">
        <f t="shared" ca="1" si="2"/>
        <v>11671</v>
      </c>
      <c r="H44" t="s">
        <v>332</v>
      </c>
      <c r="I44" t="s">
        <v>360</v>
      </c>
      <c r="J44" t="s">
        <v>17</v>
      </c>
    </row>
    <row r="45" spans="1:10" x14ac:dyDescent="0.25">
      <c r="A45" t="s">
        <v>199</v>
      </c>
      <c r="B45" t="s">
        <v>60</v>
      </c>
      <c r="C45" s="7">
        <v>7.847788109397863E-2</v>
      </c>
      <c r="D45" s="7">
        <v>0.10087464753870228</v>
      </c>
      <c r="E45">
        <f t="shared" ca="1" si="0"/>
        <v>409</v>
      </c>
      <c r="F45">
        <f t="shared" ca="1" si="1"/>
        <v>83</v>
      </c>
      <c r="G45">
        <f t="shared" ca="1" si="2"/>
        <v>9891</v>
      </c>
      <c r="H45" t="s">
        <v>332</v>
      </c>
      <c r="I45" t="s">
        <v>360</v>
      </c>
      <c r="J45" t="s">
        <v>17</v>
      </c>
    </row>
    <row r="46" spans="1:10" x14ac:dyDescent="0.25">
      <c r="A46" t="s">
        <v>200</v>
      </c>
      <c r="B46" t="s">
        <v>61</v>
      </c>
      <c r="C46" s="7">
        <v>6.4480555700551112E-2</v>
      </c>
      <c r="D46" s="7">
        <v>9.8775496949314437E-2</v>
      </c>
      <c r="E46">
        <f t="shared" ca="1" si="0"/>
        <v>404</v>
      </c>
      <c r="F46">
        <f t="shared" ca="1" si="1"/>
        <v>96</v>
      </c>
      <c r="G46">
        <f t="shared" ca="1" si="2"/>
        <v>9478</v>
      </c>
      <c r="H46" t="s">
        <v>332</v>
      </c>
      <c r="I46" t="s">
        <v>360</v>
      </c>
      <c r="J46" t="s">
        <v>17</v>
      </c>
    </row>
    <row r="47" spans="1:10" x14ac:dyDescent="0.25">
      <c r="A47" t="s">
        <v>201</v>
      </c>
      <c r="B47" t="s">
        <v>62</v>
      </c>
      <c r="C47" s="7">
        <v>0.14273012216435094</v>
      </c>
      <c r="D47" s="7">
        <v>0.17703816986411569</v>
      </c>
      <c r="E47">
        <f t="shared" ca="1" si="0"/>
        <v>499</v>
      </c>
      <c r="F47">
        <f t="shared" ca="1" si="1"/>
        <v>77</v>
      </c>
      <c r="G47">
        <f t="shared" ca="1" si="2"/>
        <v>12286</v>
      </c>
      <c r="H47" t="s">
        <v>332</v>
      </c>
      <c r="I47" t="s">
        <v>360</v>
      </c>
      <c r="J47" t="s">
        <v>17</v>
      </c>
    </row>
    <row r="48" spans="1:10" x14ac:dyDescent="0.25">
      <c r="A48" t="s">
        <v>202</v>
      </c>
      <c r="B48" t="s">
        <v>63</v>
      </c>
      <c r="C48" s="7">
        <v>8.5036541044426248E-2</v>
      </c>
      <c r="D48" s="7">
        <v>0.11956753978120417</v>
      </c>
      <c r="E48">
        <f t="shared" ca="1" si="0"/>
        <v>418</v>
      </c>
      <c r="F48">
        <f t="shared" ca="1" si="1"/>
        <v>83</v>
      </c>
      <c r="G48">
        <f t="shared" ca="1" si="2"/>
        <v>11374</v>
      </c>
      <c r="H48" t="s">
        <v>332</v>
      </c>
      <c r="I48" t="s">
        <v>360</v>
      </c>
      <c r="J48" t="s">
        <v>17</v>
      </c>
    </row>
    <row r="49" spans="1:10" x14ac:dyDescent="0.25">
      <c r="A49" t="s">
        <v>203</v>
      </c>
      <c r="B49" t="s">
        <v>64</v>
      </c>
      <c r="C49" s="7">
        <v>0.13518978042442142</v>
      </c>
      <c r="D49" s="7">
        <v>0.17098677639818652</v>
      </c>
      <c r="E49">
        <f t="shared" ca="1" si="0"/>
        <v>401</v>
      </c>
      <c r="F49">
        <f t="shared" ca="1" si="1"/>
        <v>116</v>
      </c>
      <c r="G49">
        <f t="shared" ca="1" si="2"/>
        <v>10305</v>
      </c>
      <c r="H49" t="s">
        <v>332</v>
      </c>
      <c r="I49" t="s">
        <v>360</v>
      </c>
      <c r="J49" t="s">
        <v>17</v>
      </c>
    </row>
    <row r="50" spans="1:10" x14ac:dyDescent="0.25">
      <c r="A50" t="s">
        <v>204</v>
      </c>
      <c r="B50" t="s">
        <v>65</v>
      </c>
      <c r="C50" s="7">
        <v>5.1444712554926532E-2</v>
      </c>
      <c r="D50" s="7">
        <v>8.8012330802483371E-2</v>
      </c>
      <c r="E50">
        <f t="shared" ca="1" si="0"/>
        <v>396</v>
      </c>
      <c r="F50">
        <f t="shared" ca="1" si="1"/>
        <v>122</v>
      </c>
      <c r="G50">
        <f t="shared" ca="1" si="2"/>
        <v>8414</v>
      </c>
      <c r="H50" t="s">
        <v>332</v>
      </c>
      <c r="I50" t="s">
        <v>360</v>
      </c>
      <c r="J50" t="s">
        <v>17</v>
      </c>
    </row>
    <row r="51" spans="1:10" x14ac:dyDescent="0.25">
      <c r="A51" t="s">
        <v>205</v>
      </c>
      <c r="B51" t="s">
        <v>66</v>
      </c>
      <c r="C51" s="7">
        <v>9.4199657129976661E-2</v>
      </c>
      <c r="D51" s="7">
        <v>0.13094816385090158</v>
      </c>
      <c r="E51">
        <f t="shared" ca="1" si="0"/>
        <v>569</v>
      </c>
      <c r="F51">
        <f t="shared" ca="1" si="1"/>
        <v>104</v>
      </c>
      <c r="G51">
        <f t="shared" ca="1" si="2"/>
        <v>12323</v>
      </c>
      <c r="H51" t="s">
        <v>332</v>
      </c>
      <c r="I51" t="s">
        <v>360</v>
      </c>
      <c r="J51" t="s">
        <v>17</v>
      </c>
    </row>
    <row r="52" spans="1:10" x14ac:dyDescent="0.25">
      <c r="A52" t="s">
        <v>206</v>
      </c>
      <c r="B52" t="s">
        <v>67</v>
      </c>
      <c r="C52" s="7">
        <v>0.11028486839498244</v>
      </c>
      <c r="D52" s="7">
        <v>0.15475246175448981</v>
      </c>
      <c r="E52">
        <f t="shared" ca="1" si="0"/>
        <v>562</v>
      </c>
      <c r="F52">
        <f t="shared" ca="1" si="1"/>
        <v>114</v>
      </c>
      <c r="G52">
        <f t="shared" ca="1" si="2"/>
        <v>9808</v>
      </c>
      <c r="H52" t="s">
        <v>332</v>
      </c>
      <c r="I52" t="s">
        <v>360</v>
      </c>
      <c r="J52" t="s">
        <v>17</v>
      </c>
    </row>
    <row r="53" spans="1:10" x14ac:dyDescent="0.25">
      <c r="A53" t="s">
        <v>207</v>
      </c>
      <c r="B53" t="s">
        <v>68</v>
      </c>
      <c r="C53" s="7">
        <v>0.14368798259553855</v>
      </c>
      <c r="D53" s="7">
        <v>0.19255507756693663</v>
      </c>
      <c r="E53">
        <f t="shared" ca="1" si="0"/>
        <v>596</v>
      </c>
      <c r="F53">
        <f t="shared" ca="1" si="1"/>
        <v>115</v>
      </c>
      <c r="G53">
        <f t="shared" ca="1" si="2"/>
        <v>8665</v>
      </c>
      <c r="H53" t="s">
        <v>332</v>
      </c>
      <c r="I53" t="s">
        <v>360</v>
      </c>
      <c r="J53" t="s">
        <v>17</v>
      </c>
    </row>
    <row r="54" spans="1:10" x14ac:dyDescent="0.25">
      <c r="A54" t="s">
        <v>208</v>
      </c>
      <c r="B54" t="s">
        <v>69</v>
      </c>
      <c r="C54" s="7">
        <v>7.595199700502403E-2</v>
      </c>
      <c r="D54" s="7">
        <v>0.13221816611622719</v>
      </c>
      <c r="E54">
        <f t="shared" ca="1" si="0"/>
        <v>587</v>
      </c>
      <c r="F54">
        <f t="shared" ca="1" si="1"/>
        <v>94</v>
      </c>
      <c r="G54">
        <f t="shared" ca="1" si="2"/>
        <v>10057</v>
      </c>
      <c r="H54" t="s">
        <v>332</v>
      </c>
      <c r="I54" t="s">
        <v>360</v>
      </c>
      <c r="J54" t="s">
        <v>17</v>
      </c>
    </row>
    <row r="55" spans="1:10" x14ac:dyDescent="0.25">
      <c r="A55" t="s">
        <v>209</v>
      </c>
      <c r="B55" t="s">
        <v>70</v>
      </c>
      <c r="C55" s="7">
        <v>5.9949278163768424E-2</v>
      </c>
      <c r="D55" s="7">
        <v>0.11967101849850381</v>
      </c>
      <c r="E55">
        <f t="shared" ca="1" si="0"/>
        <v>537</v>
      </c>
      <c r="F55">
        <f t="shared" ca="1" si="1"/>
        <v>77</v>
      </c>
      <c r="G55">
        <f t="shared" ca="1" si="2"/>
        <v>7538</v>
      </c>
      <c r="H55" t="s">
        <v>332</v>
      </c>
      <c r="I55" t="s">
        <v>360</v>
      </c>
      <c r="J55" t="s">
        <v>17</v>
      </c>
    </row>
    <row r="56" spans="1:10" x14ac:dyDescent="0.25">
      <c r="A56" t="s">
        <v>210</v>
      </c>
      <c r="B56" t="s">
        <v>71</v>
      </c>
      <c r="C56" s="7">
        <v>5.2296080526729176E-2</v>
      </c>
      <c r="D56" s="7">
        <v>0.1126164561094323</v>
      </c>
      <c r="E56">
        <f t="shared" ca="1" si="0"/>
        <v>556</v>
      </c>
      <c r="F56">
        <f t="shared" ca="1" si="1"/>
        <v>94</v>
      </c>
      <c r="G56">
        <f t="shared" ca="1" si="2"/>
        <v>10806</v>
      </c>
      <c r="H56" t="s">
        <v>332</v>
      </c>
      <c r="I56" t="s">
        <v>360</v>
      </c>
      <c r="J56" t="s">
        <v>17</v>
      </c>
    </row>
    <row r="57" spans="1:10" x14ac:dyDescent="0.25">
      <c r="A57" t="s">
        <v>211</v>
      </c>
      <c r="B57" t="s">
        <v>72</v>
      </c>
      <c r="C57" s="7">
        <v>3.6772801250628512E-2</v>
      </c>
      <c r="D57" s="7">
        <v>0.10246731611961402</v>
      </c>
      <c r="E57">
        <f t="shared" ca="1" si="0"/>
        <v>619</v>
      </c>
      <c r="F57">
        <f t="shared" ca="1" si="1"/>
        <v>105</v>
      </c>
      <c r="G57">
        <f t="shared" ca="1" si="2"/>
        <v>9123</v>
      </c>
      <c r="H57" t="s">
        <v>332</v>
      </c>
      <c r="I57" t="s">
        <v>360</v>
      </c>
      <c r="J57" t="s">
        <v>17</v>
      </c>
    </row>
    <row r="58" spans="1:10" x14ac:dyDescent="0.25">
      <c r="A58" t="s">
        <v>212</v>
      </c>
      <c r="B58" t="s">
        <v>73</v>
      </c>
      <c r="C58" s="7">
        <v>0.1074167169141152</v>
      </c>
      <c r="D58" s="7">
        <v>0.17917321386844975</v>
      </c>
      <c r="E58">
        <f t="shared" ca="1" si="0"/>
        <v>472</v>
      </c>
      <c r="F58">
        <f t="shared" ca="1" si="1"/>
        <v>109</v>
      </c>
      <c r="G58">
        <f t="shared" ca="1" si="2"/>
        <v>11100</v>
      </c>
      <c r="H58" t="s">
        <v>332</v>
      </c>
      <c r="I58" t="s">
        <v>360</v>
      </c>
      <c r="J58" t="s">
        <v>17</v>
      </c>
    </row>
    <row r="59" spans="1:10" x14ac:dyDescent="0.25">
      <c r="A59" t="s">
        <v>213</v>
      </c>
      <c r="B59" t="s">
        <v>74</v>
      </c>
      <c r="C59" s="7">
        <v>5.7515076853805018E-2</v>
      </c>
      <c r="D59" s="7">
        <v>0.13263160601467436</v>
      </c>
      <c r="E59">
        <f t="shared" ca="1" si="0"/>
        <v>488</v>
      </c>
      <c r="F59">
        <f t="shared" ca="1" si="1"/>
        <v>88</v>
      </c>
      <c r="G59">
        <f t="shared" ca="1" si="2"/>
        <v>10158</v>
      </c>
      <c r="H59" t="s">
        <v>332</v>
      </c>
      <c r="I59" t="s">
        <v>360</v>
      </c>
      <c r="J59" t="s">
        <v>17</v>
      </c>
    </row>
    <row r="60" spans="1:10" x14ac:dyDescent="0.25">
      <c r="A60" t="s">
        <v>214</v>
      </c>
      <c r="B60" t="s">
        <v>75</v>
      </c>
      <c r="C60" s="7">
        <v>3.8544572599617841E-2</v>
      </c>
      <c r="D60" s="7">
        <v>0.12390527141136501</v>
      </c>
      <c r="E60">
        <f t="shared" ca="1" si="0"/>
        <v>569</v>
      </c>
      <c r="F60">
        <f t="shared" ca="1" si="1"/>
        <v>119</v>
      </c>
      <c r="G60">
        <f t="shared" ca="1" si="2"/>
        <v>8236</v>
      </c>
      <c r="H60" t="s">
        <v>332</v>
      </c>
      <c r="I60" t="s">
        <v>360</v>
      </c>
      <c r="J60" t="s">
        <v>17</v>
      </c>
    </row>
    <row r="61" spans="1:10" x14ac:dyDescent="0.25">
      <c r="A61" t="s">
        <v>215</v>
      </c>
      <c r="B61" t="s">
        <v>76</v>
      </c>
      <c r="C61" s="7">
        <v>2.5584069017487825E-2</v>
      </c>
      <c r="D61" s="7">
        <v>0.11389261360499474</v>
      </c>
      <c r="E61">
        <f t="shared" ca="1" si="0"/>
        <v>502</v>
      </c>
      <c r="F61">
        <f t="shared" ca="1" si="1"/>
        <v>92</v>
      </c>
      <c r="G61">
        <f t="shared" ca="1" si="2"/>
        <v>8782</v>
      </c>
      <c r="H61" t="s">
        <v>332</v>
      </c>
      <c r="I61" t="s">
        <v>360</v>
      </c>
      <c r="J61" t="s">
        <v>17</v>
      </c>
    </row>
    <row r="62" spans="1:10" x14ac:dyDescent="0.25">
      <c r="A62" t="s">
        <v>216</v>
      </c>
      <c r="B62" t="s">
        <v>77</v>
      </c>
      <c r="C62" s="7">
        <v>0.10714308277741877</v>
      </c>
      <c r="D62" s="7">
        <v>0.19598279513737513</v>
      </c>
      <c r="E62">
        <f t="shared" ca="1" si="0"/>
        <v>536</v>
      </c>
      <c r="F62">
        <f t="shared" ca="1" si="1"/>
        <v>125</v>
      </c>
      <c r="G62">
        <f t="shared" ca="1" si="2"/>
        <v>11824</v>
      </c>
      <c r="H62" t="s">
        <v>332</v>
      </c>
      <c r="I62" t="s">
        <v>360</v>
      </c>
      <c r="J62" t="s">
        <v>17</v>
      </c>
    </row>
    <row r="63" spans="1:10" x14ac:dyDescent="0.25">
      <c r="A63" t="s">
        <v>217</v>
      </c>
      <c r="B63" t="s">
        <v>78</v>
      </c>
      <c r="C63" s="7">
        <v>5.9280918324631289E-2</v>
      </c>
      <c r="D63" s="7">
        <v>0.15089995247236582</v>
      </c>
      <c r="E63">
        <f t="shared" ca="1" si="0"/>
        <v>538</v>
      </c>
      <c r="F63">
        <f t="shared" ca="1" si="1"/>
        <v>90</v>
      </c>
      <c r="G63">
        <f t="shared" ca="1" si="2"/>
        <v>11286</v>
      </c>
      <c r="H63" t="s">
        <v>332</v>
      </c>
      <c r="I63" t="s">
        <v>360</v>
      </c>
      <c r="J63" t="s">
        <v>17</v>
      </c>
    </row>
    <row r="64" spans="1:10" x14ac:dyDescent="0.25">
      <c r="A64" t="s">
        <v>218</v>
      </c>
      <c r="B64" t="s">
        <v>79</v>
      </c>
      <c r="C64" s="7">
        <v>8.3793697573532569E-2</v>
      </c>
      <c r="D64" s="7">
        <v>0.17845224054756589</v>
      </c>
      <c r="E64">
        <f t="shared" ca="1" si="0"/>
        <v>583</v>
      </c>
      <c r="F64">
        <f t="shared" ca="1" si="1"/>
        <v>105</v>
      </c>
      <c r="G64">
        <f t="shared" ca="1" si="2"/>
        <v>8939</v>
      </c>
      <c r="H64" t="s">
        <v>332</v>
      </c>
      <c r="I64" t="s">
        <v>360</v>
      </c>
      <c r="J64" t="s">
        <v>17</v>
      </c>
    </row>
    <row r="65" spans="1:10" x14ac:dyDescent="0.25">
      <c r="A65" t="s">
        <v>219</v>
      </c>
      <c r="B65" t="s">
        <v>80</v>
      </c>
      <c r="C65" s="7">
        <v>5.9907667198231485E-2</v>
      </c>
      <c r="D65" s="7">
        <v>0.16948150701935355</v>
      </c>
      <c r="E65">
        <f t="shared" ca="1" si="0"/>
        <v>468</v>
      </c>
      <c r="F65">
        <f t="shared" ca="1" si="1"/>
        <v>97</v>
      </c>
      <c r="G65">
        <f t="shared" ca="1" si="2"/>
        <v>11844</v>
      </c>
      <c r="H65" t="s">
        <v>332</v>
      </c>
      <c r="I65" t="s">
        <v>360</v>
      </c>
      <c r="J65" t="s">
        <v>17</v>
      </c>
    </row>
    <row r="66" spans="1:10" x14ac:dyDescent="0.25">
      <c r="A66" t="s">
        <v>220</v>
      </c>
      <c r="B66" t="s">
        <v>81</v>
      </c>
      <c r="C66" s="7">
        <v>1.4219949860877887E-2</v>
      </c>
      <c r="D66" s="7">
        <v>0.12409217785189659</v>
      </c>
      <c r="E66">
        <f t="shared" ca="1" si="0"/>
        <v>447</v>
      </c>
      <c r="F66">
        <f t="shared" ca="1" si="1"/>
        <v>99</v>
      </c>
      <c r="G66">
        <f t="shared" ca="1" si="2"/>
        <v>11882</v>
      </c>
      <c r="H66" t="s">
        <v>332</v>
      </c>
      <c r="I66" t="s">
        <v>360</v>
      </c>
      <c r="J66" t="s">
        <v>17</v>
      </c>
    </row>
    <row r="67" spans="1:10" x14ac:dyDescent="0.25">
      <c r="A67" t="s">
        <v>221</v>
      </c>
      <c r="B67" t="s">
        <v>82</v>
      </c>
      <c r="C67" s="7">
        <v>2.6634687047876002E-2</v>
      </c>
      <c r="D67" s="7">
        <v>0.13724158839734452</v>
      </c>
      <c r="E67">
        <f t="shared" ref="E67:E91" ca="1" si="3">ROUND(500*(1-(RAND()-0.5)*2*0.25),0)</f>
        <v>536</v>
      </c>
      <c r="F67">
        <f t="shared" ref="F67:F91" ca="1" si="4">ROUND(100*(1-(RAND()-0.5)*2*0.25),0)</f>
        <v>77</v>
      </c>
      <c r="G67">
        <f t="shared" ref="G67:G91" ca="1" si="5">ROUND(10000*(1-(RAND()-0.5)*2*0.25),0)</f>
        <v>7716</v>
      </c>
      <c r="H67" t="s">
        <v>332</v>
      </c>
      <c r="I67" t="s">
        <v>360</v>
      </c>
      <c r="J67" t="s">
        <v>17</v>
      </c>
    </row>
    <row r="68" spans="1:10" x14ac:dyDescent="0.25">
      <c r="A68" t="s">
        <v>222</v>
      </c>
      <c r="B68" t="s">
        <v>83</v>
      </c>
      <c r="C68" s="7">
        <v>0.12527186349641745</v>
      </c>
      <c r="D68" s="7">
        <v>0.24193752288389564</v>
      </c>
      <c r="E68">
        <f t="shared" ca="1" si="3"/>
        <v>621</v>
      </c>
      <c r="F68">
        <f t="shared" ca="1" si="4"/>
        <v>116</v>
      </c>
      <c r="G68">
        <f t="shared" ca="1" si="5"/>
        <v>10938</v>
      </c>
      <c r="H68" t="s">
        <v>332</v>
      </c>
      <c r="I68" t="s">
        <v>360</v>
      </c>
      <c r="J68" t="s">
        <v>17</v>
      </c>
    </row>
    <row r="69" spans="1:10" x14ac:dyDescent="0.25">
      <c r="A69" t="s">
        <v>223</v>
      </c>
      <c r="B69" t="s">
        <v>84</v>
      </c>
      <c r="C69" s="7">
        <v>6.0351084320323552E-2</v>
      </c>
      <c r="D69" s="7">
        <v>0.18795203915803763</v>
      </c>
      <c r="E69">
        <f t="shared" ca="1" si="3"/>
        <v>396</v>
      </c>
      <c r="F69">
        <f t="shared" ca="1" si="4"/>
        <v>79</v>
      </c>
      <c r="G69">
        <f t="shared" ca="1" si="5"/>
        <v>9151</v>
      </c>
      <c r="H69" t="s">
        <v>332</v>
      </c>
      <c r="I69" t="s">
        <v>360</v>
      </c>
      <c r="J69" t="s">
        <v>17</v>
      </c>
    </row>
    <row r="70" spans="1:10" x14ac:dyDescent="0.25">
      <c r="A70" t="s">
        <v>224</v>
      </c>
      <c r="B70" t="s">
        <v>85</v>
      </c>
      <c r="C70" s="7">
        <v>3.7895809397284525E-3</v>
      </c>
      <c r="D70" s="7">
        <v>0.13571258272645606</v>
      </c>
      <c r="E70">
        <f t="shared" ca="1" si="3"/>
        <v>477</v>
      </c>
      <c r="F70">
        <f t="shared" ca="1" si="4"/>
        <v>85</v>
      </c>
      <c r="G70">
        <f t="shared" ca="1" si="5"/>
        <v>10963</v>
      </c>
      <c r="H70" t="s">
        <v>332</v>
      </c>
      <c r="I70" t="s">
        <v>360</v>
      </c>
      <c r="J70" t="s">
        <v>17</v>
      </c>
    </row>
    <row r="71" spans="1:10" x14ac:dyDescent="0.25">
      <c r="A71" t="s">
        <v>225</v>
      </c>
      <c r="B71" t="s">
        <v>86</v>
      </c>
      <c r="C71" s="7">
        <v>1.3156461406292209E-2</v>
      </c>
      <c r="D71" s="7">
        <v>0.15034866455455898</v>
      </c>
      <c r="E71">
        <f t="shared" ca="1" si="3"/>
        <v>607</v>
      </c>
      <c r="F71">
        <f t="shared" ca="1" si="4"/>
        <v>94</v>
      </c>
      <c r="G71">
        <f t="shared" ca="1" si="5"/>
        <v>7797</v>
      </c>
      <c r="H71" t="s">
        <v>332</v>
      </c>
      <c r="I71" t="s">
        <v>360</v>
      </c>
      <c r="J71" t="s">
        <v>17</v>
      </c>
    </row>
    <row r="72" spans="1:10" x14ac:dyDescent="0.25">
      <c r="A72" t="s">
        <v>226</v>
      </c>
      <c r="B72" t="s">
        <v>136</v>
      </c>
      <c r="C72" s="7">
        <v>6.2048255618743685E-2</v>
      </c>
      <c r="D72" s="7">
        <v>0.20606924194814288</v>
      </c>
      <c r="E72">
        <f t="shared" ca="1" si="3"/>
        <v>444</v>
      </c>
      <c r="F72">
        <f t="shared" ca="1" si="4"/>
        <v>123</v>
      </c>
      <c r="G72">
        <f t="shared" ca="1" si="5"/>
        <v>8966</v>
      </c>
      <c r="H72" t="s">
        <v>332</v>
      </c>
      <c r="I72" t="s">
        <v>360</v>
      </c>
      <c r="J72" t="s">
        <v>17</v>
      </c>
    </row>
    <row r="73" spans="1:10" x14ac:dyDescent="0.25">
      <c r="A73" t="s">
        <v>227</v>
      </c>
      <c r="B73" t="s">
        <v>137</v>
      </c>
      <c r="C73" s="7">
        <v>0</v>
      </c>
      <c r="D73" s="7">
        <v>0.16347965993831001</v>
      </c>
      <c r="E73">
        <f t="shared" ca="1" si="3"/>
        <v>417</v>
      </c>
      <c r="F73">
        <f t="shared" ca="1" si="4"/>
        <v>88</v>
      </c>
      <c r="G73">
        <f t="shared" ca="1" si="5"/>
        <v>10727</v>
      </c>
      <c r="H73" t="s">
        <v>332</v>
      </c>
      <c r="I73" t="s">
        <v>360</v>
      </c>
      <c r="J73" t="s">
        <v>17</v>
      </c>
    </row>
    <row r="74" spans="1:10" x14ac:dyDescent="0.25">
      <c r="A74" t="s">
        <v>228</v>
      </c>
      <c r="B74" t="s">
        <v>138</v>
      </c>
      <c r="C74" s="7">
        <v>8.9806276584040917E-2</v>
      </c>
      <c r="D74" s="7">
        <v>0.26078666949292645</v>
      </c>
      <c r="E74">
        <f t="shared" ca="1" si="3"/>
        <v>464</v>
      </c>
      <c r="F74">
        <f t="shared" ca="1" si="4"/>
        <v>124</v>
      </c>
      <c r="G74">
        <f t="shared" ca="1" si="5"/>
        <v>9555</v>
      </c>
      <c r="H74" t="s">
        <v>332</v>
      </c>
      <c r="I74" t="s">
        <v>360</v>
      </c>
      <c r="J74" t="s">
        <v>17</v>
      </c>
    </row>
    <row r="75" spans="1:10" x14ac:dyDescent="0.25">
      <c r="A75" t="s">
        <v>229</v>
      </c>
      <c r="B75" t="s">
        <v>139</v>
      </c>
      <c r="C75" s="7">
        <v>7.9149742814974444E-2</v>
      </c>
      <c r="D75" s="7">
        <v>0.25153052025515349</v>
      </c>
      <c r="E75">
        <f t="shared" ca="1" si="3"/>
        <v>607</v>
      </c>
      <c r="F75">
        <f t="shared" ca="1" si="4"/>
        <v>91</v>
      </c>
      <c r="G75">
        <f t="shared" ca="1" si="5"/>
        <v>10216</v>
      </c>
      <c r="H75" t="s">
        <v>332</v>
      </c>
      <c r="I75" t="s">
        <v>360</v>
      </c>
      <c r="J75" t="s">
        <v>17</v>
      </c>
    </row>
    <row r="76" spans="1:10" x14ac:dyDescent="0.25">
      <c r="A76" t="s">
        <v>230</v>
      </c>
      <c r="B76" t="s">
        <v>140</v>
      </c>
      <c r="C76" s="7">
        <v>0.30683252077483708</v>
      </c>
      <c r="D76" s="7">
        <v>0</v>
      </c>
      <c r="E76">
        <f t="shared" ca="1" si="3"/>
        <v>562</v>
      </c>
      <c r="F76">
        <f t="shared" ca="1" si="4"/>
        <v>102</v>
      </c>
      <c r="G76">
        <f t="shared" ca="1" si="5"/>
        <v>7950</v>
      </c>
      <c r="H76" t="s">
        <v>332</v>
      </c>
      <c r="I76" t="s">
        <v>360</v>
      </c>
      <c r="J76" t="s">
        <v>17</v>
      </c>
    </row>
    <row r="77" spans="1:10" x14ac:dyDescent="0.25">
      <c r="A77" t="s">
        <v>231</v>
      </c>
      <c r="B77" t="s">
        <v>141</v>
      </c>
      <c r="C77" s="7">
        <v>0.28570840072274428</v>
      </c>
      <c r="D77" s="7">
        <v>2.6257685807053129E-2</v>
      </c>
      <c r="E77">
        <f t="shared" ca="1" si="3"/>
        <v>525</v>
      </c>
      <c r="F77">
        <f t="shared" ca="1" si="4"/>
        <v>109</v>
      </c>
      <c r="G77">
        <f t="shared" ca="1" si="5"/>
        <v>8264</v>
      </c>
      <c r="H77" t="s">
        <v>332</v>
      </c>
      <c r="I77" t="s">
        <v>360</v>
      </c>
      <c r="J77" t="s">
        <v>17</v>
      </c>
    </row>
    <row r="78" spans="1:10" x14ac:dyDescent="0.25">
      <c r="A78" t="s">
        <v>232</v>
      </c>
      <c r="B78" t="s">
        <v>142</v>
      </c>
      <c r="C78" s="7">
        <v>0.25889813937926159</v>
      </c>
      <c r="D78" s="7">
        <v>1.5372961269888023E-2</v>
      </c>
      <c r="E78">
        <f t="shared" ca="1" si="3"/>
        <v>492</v>
      </c>
      <c r="F78">
        <f t="shared" ca="1" si="4"/>
        <v>118</v>
      </c>
      <c r="G78">
        <f t="shared" ca="1" si="5"/>
        <v>8478</v>
      </c>
      <c r="H78" t="s">
        <v>332</v>
      </c>
      <c r="I78" t="s">
        <v>360</v>
      </c>
      <c r="J78" t="s">
        <v>17</v>
      </c>
    </row>
    <row r="79" spans="1:10" x14ac:dyDescent="0.25">
      <c r="A79" t="s">
        <v>233</v>
      </c>
      <c r="B79" t="s">
        <v>143</v>
      </c>
      <c r="C79" s="7">
        <v>0.27372588175306489</v>
      </c>
      <c r="D79" s="7">
        <v>5.3837150950309408E-2</v>
      </c>
      <c r="E79">
        <f t="shared" ca="1" si="3"/>
        <v>394</v>
      </c>
      <c r="F79">
        <f t="shared" ca="1" si="4"/>
        <v>101</v>
      </c>
      <c r="G79">
        <f t="shared" ca="1" si="5"/>
        <v>11577</v>
      </c>
      <c r="H79" t="s">
        <v>332</v>
      </c>
      <c r="I79" t="s">
        <v>360</v>
      </c>
      <c r="J79" t="s">
        <v>17</v>
      </c>
    </row>
    <row r="80" spans="1:10" x14ac:dyDescent="0.25">
      <c r="A80" t="s">
        <v>234</v>
      </c>
      <c r="B80" t="s">
        <v>144</v>
      </c>
      <c r="C80" s="7">
        <v>0.25646929430737331</v>
      </c>
      <c r="D80" s="7">
        <v>3.9828746600138167E-2</v>
      </c>
      <c r="E80">
        <f t="shared" ca="1" si="3"/>
        <v>557</v>
      </c>
      <c r="F80">
        <f t="shared" ca="1" si="4"/>
        <v>94</v>
      </c>
      <c r="G80">
        <f t="shared" ca="1" si="5"/>
        <v>8321</v>
      </c>
      <c r="H80" t="s">
        <v>332</v>
      </c>
      <c r="I80" t="s">
        <v>360</v>
      </c>
      <c r="J80" t="s">
        <v>17</v>
      </c>
    </row>
    <row r="81" spans="1:10" x14ac:dyDescent="0.25">
      <c r="A81" t="s">
        <v>235</v>
      </c>
      <c r="B81" t="s">
        <v>145</v>
      </c>
      <c r="C81" s="7">
        <v>0.23350291424013137</v>
      </c>
      <c r="D81" s="7">
        <v>1.7060961906789778E-2</v>
      </c>
      <c r="E81">
        <f t="shared" ca="1" si="3"/>
        <v>450</v>
      </c>
      <c r="F81">
        <f t="shared" ca="1" si="4"/>
        <v>95</v>
      </c>
      <c r="G81">
        <f t="shared" ca="1" si="5"/>
        <v>10018</v>
      </c>
      <c r="H81" t="s">
        <v>332</v>
      </c>
      <c r="I81" t="s">
        <v>360</v>
      </c>
      <c r="J81" t="s">
        <v>17</v>
      </c>
    </row>
    <row r="82" spans="1:10" x14ac:dyDescent="0.25">
      <c r="A82" t="s">
        <v>236</v>
      </c>
      <c r="B82" t="s">
        <v>146</v>
      </c>
      <c r="C82" s="7">
        <v>0.2696836649984522</v>
      </c>
      <c r="D82" s="7">
        <v>0.16951999781007415</v>
      </c>
      <c r="E82">
        <f t="shared" ca="1" si="3"/>
        <v>561</v>
      </c>
      <c r="F82">
        <f t="shared" ca="1" si="4"/>
        <v>116</v>
      </c>
      <c r="G82">
        <f t="shared" ca="1" si="5"/>
        <v>8564</v>
      </c>
      <c r="H82" t="s">
        <v>332</v>
      </c>
      <c r="I82" t="s">
        <v>360</v>
      </c>
      <c r="J82" t="s">
        <v>17</v>
      </c>
    </row>
    <row r="83" spans="1:10" x14ac:dyDescent="0.25">
      <c r="A83" t="s">
        <v>237</v>
      </c>
      <c r="B83" t="s">
        <v>147</v>
      </c>
      <c r="C83" s="7">
        <v>0.21243998318610963</v>
      </c>
      <c r="D83" s="7">
        <v>0.19237921622922116</v>
      </c>
      <c r="E83">
        <f t="shared" ca="1" si="3"/>
        <v>442</v>
      </c>
      <c r="F83">
        <f t="shared" ca="1" si="4"/>
        <v>111</v>
      </c>
      <c r="G83">
        <f t="shared" ca="1" si="5"/>
        <v>11809</v>
      </c>
      <c r="H83" t="s">
        <v>332</v>
      </c>
      <c r="I83" t="s">
        <v>360</v>
      </c>
      <c r="J83" t="s">
        <v>17</v>
      </c>
    </row>
    <row r="84" spans="1:10" x14ac:dyDescent="0.25">
      <c r="A84" t="s">
        <v>238</v>
      </c>
      <c r="B84" t="s">
        <v>148</v>
      </c>
      <c r="C84" s="7">
        <v>0.2146193884251438</v>
      </c>
      <c r="D84" s="7">
        <v>0.22217997789350571</v>
      </c>
      <c r="E84">
        <f t="shared" ca="1" si="3"/>
        <v>382</v>
      </c>
      <c r="F84">
        <f t="shared" ca="1" si="4"/>
        <v>104</v>
      </c>
      <c r="G84">
        <f t="shared" ca="1" si="5"/>
        <v>8317</v>
      </c>
      <c r="H84" t="s">
        <v>332</v>
      </c>
      <c r="I84" t="s">
        <v>360</v>
      </c>
      <c r="J84" t="s">
        <v>17</v>
      </c>
    </row>
    <row r="85" spans="1:10" x14ac:dyDescent="0.25">
      <c r="A85" t="s">
        <v>239</v>
      </c>
      <c r="B85" t="s">
        <v>149</v>
      </c>
      <c r="C85" s="7">
        <v>0.18648858197633356</v>
      </c>
      <c r="D85" s="7">
        <v>0.20626228811960784</v>
      </c>
      <c r="E85">
        <f t="shared" ca="1" si="3"/>
        <v>465</v>
      </c>
      <c r="F85">
        <f t="shared" ca="1" si="4"/>
        <v>76</v>
      </c>
      <c r="G85">
        <f t="shared" ca="1" si="5"/>
        <v>11388</v>
      </c>
      <c r="H85" t="s">
        <v>332</v>
      </c>
      <c r="I85" t="s">
        <v>360</v>
      </c>
      <c r="J85" t="s">
        <v>17</v>
      </c>
    </row>
    <row r="86" spans="1:10" x14ac:dyDescent="0.25">
      <c r="A86" t="s">
        <v>240</v>
      </c>
      <c r="B86" t="s">
        <v>150</v>
      </c>
      <c r="C86" s="7">
        <v>0.21963336347535303</v>
      </c>
      <c r="D86" s="7">
        <v>0.24267657902997455</v>
      </c>
      <c r="E86">
        <f t="shared" ca="1" si="3"/>
        <v>397</v>
      </c>
      <c r="F86">
        <f t="shared" ca="1" si="4"/>
        <v>121</v>
      </c>
      <c r="G86">
        <f t="shared" ca="1" si="5"/>
        <v>7987</v>
      </c>
      <c r="H86" t="s">
        <v>332</v>
      </c>
      <c r="I86" t="s">
        <v>360</v>
      </c>
      <c r="J86" t="s">
        <v>17</v>
      </c>
    </row>
    <row r="87" spans="1:10" x14ac:dyDescent="0.25">
      <c r="A87" t="s">
        <v>241</v>
      </c>
      <c r="B87" t="s">
        <v>151</v>
      </c>
      <c r="C87" s="7">
        <v>0.21012034909393248</v>
      </c>
      <c r="D87" s="7">
        <v>0.26482628671976222</v>
      </c>
      <c r="E87">
        <f t="shared" ca="1" si="3"/>
        <v>477</v>
      </c>
      <c r="F87">
        <f t="shared" ca="1" si="4"/>
        <v>82</v>
      </c>
      <c r="G87">
        <f t="shared" ca="1" si="5"/>
        <v>10130</v>
      </c>
      <c r="H87" t="s">
        <v>332</v>
      </c>
      <c r="I87" t="s">
        <v>360</v>
      </c>
      <c r="J87" t="s">
        <v>17</v>
      </c>
    </row>
    <row r="88" spans="1:10" x14ac:dyDescent="0.25">
      <c r="A88" t="s">
        <v>242</v>
      </c>
      <c r="B88" t="s">
        <v>152</v>
      </c>
      <c r="C88" s="7">
        <v>0.18512537256931841</v>
      </c>
      <c r="D88" s="7">
        <v>0.24393925221147186</v>
      </c>
      <c r="E88">
        <f t="shared" ca="1" si="3"/>
        <v>599</v>
      </c>
      <c r="F88">
        <f t="shared" ca="1" si="4"/>
        <v>88</v>
      </c>
      <c r="G88">
        <f t="shared" ca="1" si="5"/>
        <v>10841</v>
      </c>
      <c r="H88" t="s">
        <v>332</v>
      </c>
      <c r="I88" t="s">
        <v>360</v>
      </c>
      <c r="J88" t="s">
        <v>17</v>
      </c>
    </row>
    <row r="89" spans="1:10" x14ac:dyDescent="0.25">
      <c r="A89" t="s">
        <v>243</v>
      </c>
      <c r="B89" t="s">
        <v>153</v>
      </c>
      <c r="C89" s="7">
        <v>0.18302135871753755</v>
      </c>
      <c r="D89" s="7">
        <v>0.26578693406976639</v>
      </c>
      <c r="E89">
        <f t="shared" ca="1" si="3"/>
        <v>497</v>
      </c>
      <c r="F89">
        <f t="shared" ca="1" si="4"/>
        <v>123</v>
      </c>
      <c r="G89">
        <f t="shared" ca="1" si="5"/>
        <v>11691</v>
      </c>
      <c r="H89" t="s">
        <v>332</v>
      </c>
      <c r="I89" t="s">
        <v>360</v>
      </c>
      <c r="J89" t="s">
        <v>17</v>
      </c>
    </row>
    <row r="90" spans="1:10" x14ac:dyDescent="0.25">
      <c r="A90" t="s">
        <v>244</v>
      </c>
      <c r="B90" t="s">
        <v>154</v>
      </c>
      <c r="C90" s="7">
        <v>0.22422634888163942</v>
      </c>
      <c r="D90" s="7">
        <v>0.31817559586315258</v>
      </c>
      <c r="E90">
        <f t="shared" ca="1" si="3"/>
        <v>541</v>
      </c>
      <c r="F90">
        <f t="shared" ca="1" si="4"/>
        <v>99</v>
      </c>
      <c r="G90">
        <f t="shared" ca="1" si="5"/>
        <v>10440</v>
      </c>
      <c r="H90" t="s">
        <v>332</v>
      </c>
      <c r="I90" t="s">
        <v>360</v>
      </c>
      <c r="J90" t="s">
        <v>17</v>
      </c>
    </row>
    <row r="91" spans="1:10" x14ac:dyDescent="0.25">
      <c r="A91" t="s">
        <v>245</v>
      </c>
      <c r="B91" t="s">
        <v>155</v>
      </c>
      <c r="C91" s="7">
        <v>0.18268563078569428</v>
      </c>
      <c r="D91" s="7">
        <v>0.28392280006105014</v>
      </c>
      <c r="E91">
        <f t="shared" ca="1" si="3"/>
        <v>466</v>
      </c>
      <c r="F91">
        <f t="shared" ca="1" si="4"/>
        <v>118</v>
      </c>
      <c r="G91">
        <f t="shared" ca="1" si="5"/>
        <v>11141</v>
      </c>
      <c r="H91" t="s">
        <v>332</v>
      </c>
      <c r="I91" t="s">
        <v>360</v>
      </c>
      <c r="J91" t="s">
        <v>17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topLeftCell="F1" workbookViewId="0">
      <selection activeCell="M15" sqref="M15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13.85546875" customWidth="1"/>
    <col min="6" max="6" width="10.28515625" style="4" customWidth="1"/>
    <col min="7" max="10" width="13.85546875" style="4" customWidth="1"/>
    <col min="11" max="11" width="34.85546875" style="4" bestFit="1" customWidth="1"/>
    <col min="12" max="12" width="31.85546875" bestFit="1" customWidth="1"/>
    <col min="13" max="13" width="65.42578125" bestFit="1" customWidth="1"/>
    <col min="16" max="16" width="9.85546875" bestFit="1" customWidth="1"/>
  </cols>
  <sheetData>
    <row r="1" spans="1:16" s="2" customFormat="1" ht="60" x14ac:dyDescent="0.25">
      <c r="A1" s="3" t="s">
        <v>4</v>
      </c>
      <c r="B1" s="3" t="s">
        <v>10</v>
      </c>
      <c r="C1" s="19" t="s">
        <v>298</v>
      </c>
      <c r="D1" s="19" t="s">
        <v>13</v>
      </c>
      <c r="E1" s="19" t="s">
        <v>14</v>
      </c>
      <c r="F1" s="3" t="s">
        <v>302</v>
      </c>
      <c r="G1" s="29" t="s">
        <v>344</v>
      </c>
      <c r="H1" s="29" t="s">
        <v>345</v>
      </c>
      <c r="I1" s="29" t="s">
        <v>346</v>
      </c>
      <c r="J1" s="29" t="s">
        <v>347</v>
      </c>
      <c r="K1" s="29" t="s">
        <v>348</v>
      </c>
      <c r="L1" s="3" t="s">
        <v>9</v>
      </c>
      <c r="M1" s="3" t="s">
        <v>402</v>
      </c>
      <c r="N1" s="17" t="s">
        <v>294</v>
      </c>
      <c r="O1" s="17" t="s">
        <v>295</v>
      </c>
      <c r="P1" s="40" t="s">
        <v>337</v>
      </c>
    </row>
    <row r="2" spans="1:16" x14ac:dyDescent="0.25">
      <c r="A2" t="s">
        <v>248</v>
      </c>
      <c r="B2" t="s">
        <v>289</v>
      </c>
      <c r="C2" s="20">
        <v>365</v>
      </c>
      <c r="D2" s="20">
        <v>62</v>
      </c>
      <c r="E2" s="20">
        <v>1.2500000000000001E-2</v>
      </c>
      <c r="F2" s="4" t="s">
        <v>135</v>
      </c>
      <c r="G2" s="28">
        <v>1</v>
      </c>
      <c r="H2" s="28">
        <v>0.1</v>
      </c>
      <c r="I2" s="28">
        <v>1</v>
      </c>
      <c r="J2" s="28">
        <v>20</v>
      </c>
      <c r="K2" s="28" t="s">
        <v>361</v>
      </c>
      <c r="L2" t="s">
        <v>275</v>
      </c>
      <c r="M2" t="s">
        <v>399</v>
      </c>
      <c r="N2">
        <v>1</v>
      </c>
      <c r="O2" t="s">
        <v>338</v>
      </c>
      <c r="P2" t="s">
        <v>405</v>
      </c>
    </row>
    <row r="3" spans="1:16" x14ac:dyDescent="0.25">
      <c r="A3" t="s">
        <v>248</v>
      </c>
      <c r="B3" t="s">
        <v>290</v>
      </c>
      <c r="C3" s="20">
        <v>365</v>
      </c>
      <c r="D3" s="20">
        <v>62</v>
      </c>
      <c r="E3" s="20">
        <v>1.2500000000000001E-2</v>
      </c>
      <c r="F3" s="4" t="s">
        <v>135</v>
      </c>
      <c r="G3" s="28">
        <v>1</v>
      </c>
      <c r="H3" s="28">
        <v>0.1</v>
      </c>
      <c r="I3" s="28">
        <v>1</v>
      </c>
      <c r="J3" s="28">
        <v>20</v>
      </c>
      <c r="K3" s="28" t="s">
        <v>361</v>
      </c>
      <c r="L3" t="s">
        <v>275</v>
      </c>
      <c r="M3" t="s">
        <v>400</v>
      </c>
      <c r="N3">
        <v>1</v>
      </c>
      <c r="O3" t="s">
        <v>339</v>
      </c>
      <c r="P3" t="s">
        <v>405</v>
      </c>
    </row>
    <row r="4" spans="1:16" x14ac:dyDescent="0.25">
      <c r="A4" t="s">
        <v>249</v>
      </c>
      <c r="B4" t="s">
        <v>291</v>
      </c>
      <c r="C4" s="20">
        <v>365</v>
      </c>
      <c r="D4" s="20">
        <v>62</v>
      </c>
      <c r="E4" s="20">
        <v>1.2500000000000001E-2</v>
      </c>
      <c r="F4" s="4" t="s">
        <v>135</v>
      </c>
      <c r="G4" s="28">
        <v>1</v>
      </c>
      <c r="H4" s="28">
        <v>0.1</v>
      </c>
      <c r="I4" s="28">
        <v>1</v>
      </c>
      <c r="J4" s="28">
        <v>20</v>
      </c>
      <c r="K4" s="28" t="s">
        <v>361</v>
      </c>
      <c r="L4" t="s">
        <v>275</v>
      </c>
      <c r="M4" t="s">
        <v>401</v>
      </c>
      <c r="N4">
        <v>1</v>
      </c>
      <c r="O4" t="s">
        <v>340</v>
      </c>
      <c r="P4" t="s">
        <v>405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I1" sqref="I1"/>
    </sheetView>
  </sheetViews>
  <sheetFormatPr defaultRowHeight="15" x14ac:dyDescent="0.25"/>
  <sheetData>
    <row r="1" spans="1:11" s="2" customFormat="1" ht="60" x14ac:dyDescent="0.25">
      <c r="A1" s="3" t="s">
        <v>4</v>
      </c>
      <c r="B1" s="3" t="s">
        <v>10</v>
      </c>
      <c r="C1" s="3" t="s">
        <v>8</v>
      </c>
      <c r="D1" s="3" t="s">
        <v>11</v>
      </c>
      <c r="E1" s="3" t="s">
        <v>12</v>
      </c>
      <c r="F1" s="3" t="s">
        <v>87</v>
      </c>
      <c r="G1" s="3" t="s">
        <v>13</v>
      </c>
      <c r="H1" s="3" t="s">
        <v>14</v>
      </c>
      <c r="I1" s="3" t="s">
        <v>265</v>
      </c>
      <c r="J1" s="3" t="s">
        <v>7</v>
      </c>
      <c r="K1" s="3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selection activeCell="I8" sqref="I8"/>
    </sheetView>
  </sheetViews>
  <sheetFormatPr defaultRowHeight="15" x14ac:dyDescent="0.25"/>
  <cols>
    <col min="1" max="1" width="12.140625" customWidth="1"/>
    <col min="2" max="2" width="8.5703125" customWidth="1"/>
    <col min="3" max="3" width="16.42578125" customWidth="1"/>
    <col min="4" max="6" width="14.28515625" style="4" customWidth="1"/>
    <col min="7" max="7" width="25.5703125" bestFit="1" customWidth="1"/>
    <col min="8" max="8" width="19.7109375" customWidth="1"/>
    <col min="9" max="9" width="9.85546875" bestFit="1" customWidth="1"/>
  </cols>
  <sheetData>
    <row r="1" spans="1:9" s="2" customFormat="1" ht="45" x14ac:dyDescent="0.25">
      <c r="A1" s="3" t="s">
        <v>4</v>
      </c>
      <c r="B1" s="3" t="s">
        <v>10</v>
      </c>
      <c r="C1" s="19" t="s">
        <v>298</v>
      </c>
      <c r="D1" s="19" t="s">
        <v>13</v>
      </c>
      <c r="E1" s="19" t="s">
        <v>14</v>
      </c>
      <c r="F1" s="3" t="s">
        <v>302</v>
      </c>
      <c r="G1" s="3" t="s">
        <v>9</v>
      </c>
      <c r="H1" s="3" t="s">
        <v>402</v>
      </c>
      <c r="I1" s="40" t="s">
        <v>337</v>
      </c>
    </row>
    <row r="2" spans="1:9" x14ac:dyDescent="0.25">
      <c r="A2" t="s">
        <v>248</v>
      </c>
      <c r="B2" t="s">
        <v>88</v>
      </c>
      <c r="C2" s="20">
        <v>365</v>
      </c>
      <c r="D2" s="21">
        <v>182</v>
      </c>
      <c r="E2" s="21">
        <v>1.2500000000000001E-2</v>
      </c>
      <c r="F2" s="4" t="s">
        <v>135</v>
      </c>
      <c r="G2" t="s">
        <v>276</v>
      </c>
      <c r="H2" t="s">
        <v>378</v>
      </c>
      <c r="I2" t="s">
        <v>406</v>
      </c>
    </row>
    <row r="3" spans="1:9" x14ac:dyDescent="0.25">
      <c r="A3" t="s">
        <v>249</v>
      </c>
      <c r="B3" t="s">
        <v>89</v>
      </c>
      <c r="C3" s="20">
        <v>365</v>
      </c>
      <c r="D3" s="21">
        <v>182</v>
      </c>
      <c r="E3" s="21">
        <v>1.2500000000000001E-2</v>
      </c>
      <c r="F3" s="4" t="s">
        <v>135</v>
      </c>
      <c r="G3" t="s">
        <v>276</v>
      </c>
      <c r="H3" t="s">
        <v>378</v>
      </c>
      <c r="I3" t="s">
        <v>406</v>
      </c>
    </row>
    <row r="4" spans="1:9" x14ac:dyDescent="0.25">
      <c r="A4" t="s">
        <v>249</v>
      </c>
      <c r="B4" t="s">
        <v>90</v>
      </c>
      <c r="C4" s="20">
        <v>365</v>
      </c>
      <c r="D4" s="21">
        <v>182</v>
      </c>
      <c r="E4" s="21">
        <v>1.2500000000000001E-2</v>
      </c>
      <c r="F4" s="4" t="s">
        <v>135</v>
      </c>
      <c r="G4" t="s">
        <v>276</v>
      </c>
      <c r="H4" t="s">
        <v>378</v>
      </c>
      <c r="I4" t="s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5"/>
  <sheetViews>
    <sheetView topLeftCell="AH1" workbookViewId="0">
      <selection activeCell="AX2" sqref="AX2:AX5"/>
    </sheetView>
  </sheetViews>
  <sheetFormatPr defaultRowHeight="15" x14ac:dyDescent="0.25"/>
  <cols>
    <col min="1" max="1" width="10.7109375" bestFit="1" customWidth="1"/>
    <col min="2" max="2" width="7.85546875" bestFit="1" customWidth="1"/>
    <col min="3" max="3" width="22.7109375" bestFit="1" customWidth="1"/>
    <col min="4" max="4" width="17.42578125" bestFit="1" customWidth="1"/>
    <col min="5" max="5" width="17.28515625" bestFit="1" customWidth="1"/>
    <col min="6" max="6" width="11.5703125" bestFit="1" customWidth="1"/>
    <col min="7" max="7" width="13.42578125" style="4" bestFit="1" customWidth="1"/>
    <col min="8" max="8" width="13.5703125" customWidth="1"/>
    <col min="9" max="9" width="17.42578125" customWidth="1"/>
    <col min="10" max="10" width="12.28515625" bestFit="1" customWidth="1"/>
    <col min="11" max="11" width="13.140625" bestFit="1" customWidth="1"/>
    <col min="12" max="12" width="8.28515625" bestFit="1" customWidth="1"/>
    <col min="13" max="13" width="11.140625" bestFit="1" customWidth="1"/>
    <col min="14" max="14" width="9.85546875" bestFit="1" customWidth="1"/>
    <col min="15" max="15" width="12.5703125" bestFit="1" customWidth="1"/>
    <col min="16" max="16" width="11.28515625" bestFit="1" customWidth="1"/>
    <col min="17" max="17" width="11.42578125" bestFit="1" customWidth="1"/>
    <col min="18" max="19" width="8.85546875" bestFit="1" customWidth="1"/>
    <col min="20" max="21" width="10.42578125" bestFit="1" customWidth="1"/>
    <col min="22" max="22" width="11.42578125" bestFit="1" customWidth="1"/>
    <col min="23" max="24" width="10.42578125" bestFit="1" customWidth="1"/>
    <col min="25" max="25" width="10.85546875" bestFit="1" customWidth="1"/>
    <col min="26" max="26" width="10.7109375" bestFit="1" customWidth="1"/>
    <col min="27" max="27" width="15" bestFit="1" customWidth="1"/>
    <col min="28" max="29" width="15.140625" bestFit="1" customWidth="1"/>
    <col min="30" max="30" width="11" bestFit="1" customWidth="1"/>
    <col min="31" max="31" width="11.42578125" bestFit="1" customWidth="1"/>
    <col min="32" max="32" width="10" bestFit="1" customWidth="1"/>
    <col min="33" max="33" width="10.28515625" bestFit="1" customWidth="1"/>
    <col min="34" max="34" width="8" bestFit="1" customWidth="1"/>
    <col min="35" max="35" width="11.42578125" bestFit="1" customWidth="1"/>
    <col min="36" max="36" width="10.7109375" bestFit="1" customWidth="1"/>
    <col min="37" max="37" width="13.85546875" bestFit="1" customWidth="1"/>
    <col min="38" max="38" width="10.7109375" bestFit="1" customWidth="1"/>
    <col min="39" max="39" width="11.42578125" customWidth="1"/>
    <col min="40" max="41" width="10.85546875" bestFit="1" customWidth="1"/>
    <col min="42" max="42" width="11.7109375" bestFit="1" customWidth="1"/>
    <col min="43" max="45" width="15" customWidth="1"/>
    <col min="46" max="46" width="15.7109375" bestFit="1" customWidth="1"/>
    <col min="47" max="47" width="16" bestFit="1" customWidth="1"/>
    <col min="48" max="48" width="19.85546875" bestFit="1" customWidth="1"/>
    <col min="49" max="49" width="20.7109375" bestFit="1" customWidth="1"/>
    <col min="50" max="50" width="13.28515625" bestFit="1" customWidth="1"/>
  </cols>
  <sheetData>
    <row r="1" spans="1:52" s="67" customFormat="1" ht="75" x14ac:dyDescent="0.25">
      <c r="A1" s="40" t="s">
        <v>4</v>
      </c>
      <c r="B1" s="40" t="s">
        <v>10</v>
      </c>
      <c r="C1" s="46" t="s">
        <v>298</v>
      </c>
      <c r="D1" s="46" t="s">
        <v>13</v>
      </c>
      <c r="E1" s="46" t="s">
        <v>14</v>
      </c>
      <c r="F1" s="40" t="s">
        <v>398</v>
      </c>
      <c r="G1" s="40" t="s">
        <v>309</v>
      </c>
      <c r="H1" s="40" t="s">
        <v>366</v>
      </c>
      <c r="I1" s="40" t="s">
        <v>352</v>
      </c>
      <c r="J1" s="40" t="s">
        <v>367</v>
      </c>
      <c r="K1" s="53" t="s">
        <v>353</v>
      </c>
      <c r="L1" s="40" t="s">
        <v>91</v>
      </c>
      <c r="M1" s="40" t="s">
        <v>92</v>
      </c>
      <c r="N1" s="40" t="s">
        <v>93</v>
      </c>
      <c r="O1" s="40" t="s">
        <v>94</v>
      </c>
      <c r="P1" s="49" t="s">
        <v>396</v>
      </c>
      <c r="Q1" s="49" t="s">
        <v>397</v>
      </c>
      <c r="R1" s="40" t="s">
        <v>322</v>
      </c>
      <c r="S1" s="40" t="s">
        <v>323</v>
      </c>
      <c r="T1" s="40" t="s">
        <v>324</v>
      </c>
      <c r="U1" s="40" t="s">
        <v>325</v>
      </c>
      <c r="V1" s="41" t="s">
        <v>326</v>
      </c>
      <c r="W1" s="27" t="s">
        <v>354</v>
      </c>
      <c r="X1" s="27" t="s">
        <v>355</v>
      </c>
      <c r="Y1" s="41" t="s">
        <v>95</v>
      </c>
      <c r="Z1" s="53" t="s">
        <v>368</v>
      </c>
      <c r="AA1" s="42" t="s">
        <v>327</v>
      </c>
      <c r="AB1" s="41" t="s">
        <v>314</v>
      </c>
      <c r="AC1" s="42" t="s">
        <v>315</v>
      </c>
      <c r="AD1" s="41" t="s">
        <v>96</v>
      </c>
      <c r="AE1" s="32" t="s">
        <v>328</v>
      </c>
      <c r="AF1" s="32" t="s">
        <v>316</v>
      </c>
      <c r="AG1" s="32" t="s">
        <v>317</v>
      </c>
      <c r="AH1" s="32" t="s">
        <v>268</v>
      </c>
      <c r="AI1" s="41" t="s">
        <v>329</v>
      </c>
      <c r="AJ1" s="55" t="s">
        <v>318</v>
      </c>
      <c r="AK1" s="55" t="s">
        <v>319</v>
      </c>
      <c r="AL1" s="41" t="s">
        <v>267</v>
      </c>
      <c r="AM1" s="43" t="s">
        <v>330</v>
      </c>
      <c r="AN1" s="43" t="s">
        <v>356</v>
      </c>
      <c r="AO1" s="43" t="s">
        <v>357</v>
      </c>
      <c r="AP1" s="43" t="s">
        <v>97</v>
      </c>
      <c r="AQ1" s="32" t="s">
        <v>331</v>
      </c>
      <c r="AR1" s="32" t="s">
        <v>358</v>
      </c>
      <c r="AS1" s="32" t="s">
        <v>359</v>
      </c>
      <c r="AT1" s="32" t="s">
        <v>266</v>
      </c>
      <c r="AU1" s="40" t="s">
        <v>9</v>
      </c>
      <c r="AV1" s="40" t="s">
        <v>402</v>
      </c>
      <c r="AW1" s="40" t="s">
        <v>321</v>
      </c>
      <c r="AX1" s="40" t="s">
        <v>337</v>
      </c>
      <c r="AY1" s="40" t="s">
        <v>393</v>
      </c>
      <c r="AZ1" s="40" t="s">
        <v>394</v>
      </c>
    </row>
    <row r="2" spans="1:52" x14ac:dyDescent="0.25">
      <c r="A2" t="s">
        <v>248</v>
      </c>
      <c r="B2" t="s">
        <v>98</v>
      </c>
      <c r="C2" s="20">
        <v>365</v>
      </c>
      <c r="D2" s="20">
        <v>750</v>
      </c>
      <c r="E2" s="20">
        <v>1.2500000000000001E-2</v>
      </c>
      <c r="F2">
        <v>28000</v>
      </c>
      <c r="G2" s="4" t="s">
        <v>135</v>
      </c>
      <c r="H2" t="s">
        <v>99</v>
      </c>
      <c r="I2" t="s">
        <v>100</v>
      </c>
      <c r="J2" s="4" t="s">
        <v>271</v>
      </c>
      <c r="K2" s="4" t="s">
        <v>135</v>
      </c>
      <c r="L2">
        <v>0.9</v>
      </c>
      <c r="M2">
        <v>0.05</v>
      </c>
      <c r="N2">
        <v>0.9</v>
      </c>
      <c r="O2">
        <v>0</v>
      </c>
      <c r="P2">
        <f>24*21</f>
        <v>504</v>
      </c>
      <c r="Q2">
        <f>24*7*6</f>
        <v>1008</v>
      </c>
      <c r="R2">
        <v>3</v>
      </c>
      <c r="S2">
        <v>0</v>
      </c>
      <c r="T2">
        <f>60*15</f>
        <v>900</v>
      </c>
      <c r="U2">
        <f>ROUND(150*600/14.7,0)</f>
        <v>6122</v>
      </c>
      <c r="V2" s="38">
        <v>1</v>
      </c>
      <c r="W2" s="38">
        <v>0</v>
      </c>
      <c r="X2" s="38">
        <v>4380</v>
      </c>
      <c r="Y2" s="38">
        <v>0.21634999999999999</v>
      </c>
      <c r="Z2" t="b">
        <v>1</v>
      </c>
      <c r="AA2" s="38">
        <v>1</v>
      </c>
      <c r="AB2" s="38">
        <v>0</v>
      </c>
      <c r="AC2" s="38">
        <v>4380</v>
      </c>
      <c r="AD2" s="38">
        <v>8.3141000000000007E-2</v>
      </c>
      <c r="AE2" s="18">
        <v>1</v>
      </c>
      <c r="AF2" s="18">
        <v>0</v>
      </c>
      <c r="AG2" s="18">
        <v>4380</v>
      </c>
      <c r="AH2" s="18">
        <v>0.47815999999999997</v>
      </c>
      <c r="AI2" s="38">
        <v>1</v>
      </c>
      <c r="AJ2" s="38">
        <v>0</v>
      </c>
      <c r="AK2" s="38">
        <v>2920</v>
      </c>
      <c r="AL2" s="38">
        <v>2.6738E-3</v>
      </c>
      <c r="AM2" s="34">
        <v>1</v>
      </c>
      <c r="AN2" s="34">
        <v>0</v>
      </c>
      <c r="AO2" s="34">
        <v>4380</v>
      </c>
      <c r="AP2" s="34">
        <v>0.11268</v>
      </c>
      <c r="AQ2" s="18">
        <v>1</v>
      </c>
      <c r="AR2" s="18">
        <v>0</v>
      </c>
      <c r="AS2" s="18">
        <v>2920</v>
      </c>
      <c r="AT2" s="18">
        <v>2.7855000000000002E-3</v>
      </c>
      <c r="AU2" t="s">
        <v>277</v>
      </c>
      <c r="AV2" t="s">
        <v>378</v>
      </c>
      <c r="AW2" t="s">
        <v>378</v>
      </c>
      <c r="AX2" t="s">
        <v>407</v>
      </c>
      <c r="AY2">
        <v>0.35</v>
      </c>
      <c r="AZ2" t="s">
        <v>395</v>
      </c>
    </row>
    <row r="3" spans="1:52" x14ac:dyDescent="0.25">
      <c r="A3" t="s">
        <v>249</v>
      </c>
      <c r="B3" t="s">
        <v>101</v>
      </c>
      <c r="C3" s="20">
        <v>365</v>
      </c>
      <c r="D3" s="20">
        <v>750</v>
      </c>
      <c r="E3" s="20">
        <v>1.2500000000000001E-2</v>
      </c>
      <c r="F3">
        <v>28000</v>
      </c>
      <c r="G3" s="4" t="s">
        <v>135</v>
      </c>
      <c r="H3" t="s">
        <v>99</v>
      </c>
      <c r="I3" t="s">
        <v>100</v>
      </c>
      <c r="J3" s="4" t="s">
        <v>271</v>
      </c>
      <c r="K3" s="4" t="s">
        <v>135</v>
      </c>
      <c r="L3">
        <v>0.9</v>
      </c>
      <c r="M3">
        <v>0.05</v>
      </c>
      <c r="N3">
        <v>0.9</v>
      </c>
      <c r="O3">
        <v>0</v>
      </c>
      <c r="P3">
        <f>24*21</f>
        <v>504</v>
      </c>
      <c r="Q3">
        <f>24*7*6</f>
        <v>1008</v>
      </c>
      <c r="R3">
        <v>3</v>
      </c>
      <c r="S3">
        <v>0</v>
      </c>
      <c r="T3">
        <f>60*15</f>
        <v>900</v>
      </c>
      <c r="U3">
        <f>ROUND(150*600/14.7,0)</f>
        <v>6122</v>
      </c>
      <c r="V3" s="38">
        <v>1</v>
      </c>
      <c r="W3" s="38">
        <v>0</v>
      </c>
      <c r="X3" s="38">
        <v>4380</v>
      </c>
      <c r="Y3" s="38">
        <v>0.21634999999999999</v>
      </c>
      <c r="Z3" t="b">
        <v>1</v>
      </c>
      <c r="AA3" s="38">
        <v>1</v>
      </c>
      <c r="AB3" s="38">
        <v>0</v>
      </c>
      <c r="AC3" s="38">
        <v>4380</v>
      </c>
      <c r="AD3" s="38">
        <v>8.3141000000000007E-2</v>
      </c>
      <c r="AE3" s="18">
        <v>1</v>
      </c>
      <c r="AF3" s="18">
        <v>0</v>
      </c>
      <c r="AG3" s="18">
        <v>4380</v>
      </c>
      <c r="AH3" s="18">
        <v>0.47815999999999997</v>
      </c>
      <c r="AI3" s="38">
        <v>1</v>
      </c>
      <c r="AJ3" s="38">
        <v>0</v>
      </c>
      <c r="AK3" s="38">
        <v>2920</v>
      </c>
      <c r="AL3" s="38">
        <v>2.6738E-3</v>
      </c>
      <c r="AM3" s="34">
        <v>1</v>
      </c>
      <c r="AN3" s="34">
        <v>0</v>
      </c>
      <c r="AO3" s="34">
        <v>4380</v>
      </c>
      <c r="AP3" s="34">
        <v>0.11268</v>
      </c>
      <c r="AQ3" s="18">
        <v>1</v>
      </c>
      <c r="AR3" s="18">
        <v>0</v>
      </c>
      <c r="AS3" s="18">
        <v>2920</v>
      </c>
      <c r="AT3" s="18">
        <v>2.7855000000000002E-3</v>
      </c>
      <c r="AU3" t="s">
        <v>277</v>
      </c>
      <c r="AV3" t="s">
        <v>378</v>
      </c>
      <c r="AW3" t="s">
        <v>378</v>
      </c>
      <c r="AX3" t="s">
        <v>407</v>
      </c>
      <c r="AY3">
        <v>0.35</v>
      </c>
      <c r="AZ3" t="s">
        <v>395</v>
      </c>
    </row>
    <row r="4" spans="1:52" x14ac:dyDescent="0.25">
      <c r="A4" t="s">
        <v>249</v>
      </c>
      <c r="B4" t="s">
        <v>102</v>
      </c>
      <c r="C4" s="20">
        <v>365</v>
      </c>
      <c r="D4" s="20">
        <v>750</v>
      </c>
      <c r="E4" s="20">
        <v>1.2500000000000001E-2</v>
      </c>
      <c r="F4">
        <v>28000</v>
      </c>
      <c r="G4" s="4" t="s">
        <v>135</v>
      </c>
      <c r="H4" t="s">
        <v>99</v>
      </c>
      <c r="I4" t="s">
        <v>100</v>
      </c>
      <c r="J4" s="4" t="s">
        <v>271</v>
      </c>
      <c r="K4" s="4" t="s">
        <v>135</v>
      </c>
      <c r="L4">
        <v>0.9</v>
      </c>
      <c r="M4">
        <v>0.05</v>
      </c>
      <c r="N4">
        <v>0.9</v>
      </c>
      <c r="O4">
        <v>0</v>
      </c>
      <c r="P4">
        <f>24*21</f>
        <v>504</v>
      </c>
      <c r="Q4">
        <f>24*7*6</f>
        <v>1008</v>
      </c>
      <c r="R4">
        <v>3</v>
      </c>
      <c r="S4">
        <v>0</v>
      </c>
      <c r="T4">
        <f>60*15</f>
        <v>900</v>
      </c>
      <c r="U4">
        <f>ROUND(150*600/14.7,0)</f>
        <v>6122</v>
      </c>
      <c r="V4" s="38">
        <v>1</v>
      </c>
      <c r="W4" s="38">
        <v>0</v>
      </c>
      <c r="X4" s="38">
        <v>4380</v>
      </c>
      <c r="Y4" s="38">
        <v>0.21634999999999999</v>
      </c>
      <c r="Z4" t="b">
        <v>1</v>
      </c>
      <c r="AA4" s="38">
        <v>1</v>
      </c>
      <c r="AB4" s="38">
        <v>0</v>
      </c>
      <c r="AC4" s="38">
        <v>4380</v>
      </c>
      <c r="AD4" s="38">
        <v>8.3141000000000007E-2</v>
      </c>
      <c r="AE4" s="18">
        <v>1</v>
      </c>
      <c r="AF4" s="18">
        <v>0</v>
      </c>
      <c r="AG4" s="18">
        <v>4380</v>
      </c>
      <c r="AH4" s="18">
        <v>0.47815999999999997</v>
      </c>
      <c r="AI4" s="38">
        <v>1</v>
      </c>
      <c r="AJ4" s="38">
        <v>0</v>
      </c>
      <c r="AK4" s="38">
        <v>2920</v>
      </c>
      <c r="AL4" s="38">
        <v>2.6738E-3</v>
      </c>
      <c r="AM4" s="34">
        <v>1</v>
      </c>
      <c r="AN4" s="34">
        <v>0</v>
      </c>
      <c r="AO4" s="34">
        <v>4380</v>
      </c>
      <c r="AP4" s="34">
        <v>0.11268</v>
      </c>
      <c r="AQ4" s="18">
        <v>1</v>
      </c>
      <c r="AR4" s="18">
        <v>0</v>
      </c>
      <c r="AS4" s="18">
        <v>2920</v>
      </c>
      <c r="AT4" s="18">
        <v>2.7855000000000002E-3</v>
      </c>
      <c r="AU4" t="s">
        <v>277</v>
      </c>
      <c r="AV4" t="s">
        <v>378</v>
      </c>
      <c r="AW4" t="s">
        <v>378</v>
      </c>
      <c r="AX4" t="s">
        <v>407</v>
      </c>
      <c r="AY4">
        <v>0.35</v>
      </c>
      <c r="AZ4" t="s">
        <v>395</v>
      </c>
    </row>
    <row r="5" spans="1:52" x14ac:dyDescent="0.25">
      <c r="A5" t="s">
        <v>249</v>
      </c>
      <c r="B5" t="s">
        <v>103</v>
      </c>
      <c r="C5" s="20">
        <v>365</v>
      </c>
      <c r="D5" s="20">
        <v>750</v>
      </c>
      <c r="E5" s="20">
        <v>1.2500000000000001E-2</v>
      </c>
      <c r="F5">
        <v>28000</v>
      </c>
      <c r="G5" s="4" t="s">
        <v>135</v>
      </c>
      <c r="H5" t="s">
        <v>99</v>
      </c>
      <c r="I5" t="s">
        <v>100</v>
      </c>
      <c r="J5" s="4" t="s">
        <v>271</v>
      </c>
      <c r="K5" s="4" t="s">
        <v>135</v>
      </c>
      <c r="L5">
        <v>0.9</v>
      </c>
      <c r="M5">
        <v>0.05</v>
      </c>
      <c r="N5">
        <v>0.9</v>
      </c>
      <c r="O5">
        <v>0</v>
      </c>
      <c r="P5">
        <f>24*21</f>
        <v>504</v>
      </c>
      <c r="Q5">
        <f>24*7*6</f>
        <v>1008</v>
      </c>
      <c r="R5">
        <v>3</v>
      </c>
      <c r="S5">
        <v>0</v>
      </c>
      <c r="T5">
        <f>60*15</f>
        <v>900</v>
      </c>
      <c r="U5">
        <f>ROUND(150*600/14.7,0)</f>
        <v>6122</v>
      </c>
      <c r="V5" s="38">
        <v>1</v>
      </c>
      <c r="W5" s="38">
        <v>0</v>
      </c>
      <c r="X5" s="38">
        <v>4380</v>
      </c>
      <c r="Y5" s="38">
        <v>0.21634999999999999</v>
      </c>
      <c r="Z5" t="b">
        <v>1</v>
      </c>
      <c r="AA5" s="38">
        <v>1</v>
      </c>
      <c r="AB5" s="38">
        <v>0</v>
      </c>
      <c r="AC5" s="38">
        <v>4380</v>
      </c>
      <c r="AD5" s="38">
        <v>8.3141000000000007E-2</v>
      </c>
      <c r="AE5" s="18">
        <v>1</v>
      </c>
      <c r="AF5" s="18">
        <v>0</v>
      </c>
      <c r="AG5" s="18">
        <v>4380</v>
      </c>
      <c r="AH5" s="18">
        <v>0.47815999999999997</v>
      </c>
      <c r="AI5" s="38">
        <v>1</v>
      </c>
      <c r="AJ5" s="38">
        <v>0</v>
      </c>
      <c r="AK5" s="38">
        <v>2920</v>
      </c>
      <c r="AL5" s="38">
        <v>2.6738E-3</v>
      </c>
      <c r="AM5" s="34">
        <v>1</v>
      </c>
      <c r="AN5" s="34">
        <v>0</v>
      </c>
      <c r="AO5" s="34">
        <v>4380</v>
      </c>
      <c r="AP5" s="34">
        <v>0.11268</v>
      </c>
      <c r="AQ5" s="18">
        <v>1</v>
      </c>
      <c r="AR5" s="18">
        <v>0</v>
      </c>
      <c r="AS5" s="18">
        <v>2920</v>
      </c>
      <c r="AT5" s="18">
        <v>2.7855000000000002E-3</v>
      </c>
      <c r="AU5" t="s">
        <v>277</v>
      </c>
      <c r="AV5" t="s">
        <v>378</v>
      </c>
      <c r="AW5" t="s">
        <v>378</v>
      </c>
      <c r="AX5" t="s">
        <v>407</v>
      </c>
      <c r="AY5">
        <v>0.35</v>
      </c>
      <c r="AZ5" t="s">
        <v>395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7"/>
  <sheetViews>
    <sheetView topLeftCell="D1" workbookViewId="0">
      <selection activeCell="Q18" sqref="Q18"/>
    </sheetView>
  </sheetViews>
  <sheetFormatPr defaultRowHeight="15" x14ac:dyDescent="0.25"/>
  <cols>
    <col min="1" max="1" width="10.28515625" bestFit="1" customWidth="1"/>
    <col min="2" max="2" width="11.28515625" bestFit="1" customWidth="1"/>
    <col min="3" max="3" width="11.28515625" customWidth="1"/>
    <col min="4" max="6" width="16" style="4" customWidth="1"/>
    <col min="7" max="7" width="22.85546875" bestFit="1" customWidth="1"/>
    <col min="8" max="8" width="21.5703125" customWidth="1"/>
    <col min="10" max="13" width="12.140625" customWidth="1"/>
    <col min="14" max="14" width="13.85546875" customWidth="1"/>
    <col min="15" max="15" width="14" customWidth="1"/>
    <col min="16" max="16" width="15.85546875" customWidth="1"/>
    <col min="17" max="17" width="13.7109375" customWidth="1"/>
    <col min="18" max="18" width="13.85546875" customWidth="1"/>
    <col min="19" max="19" width="14.7109375" customWidth="1"/>
    <col min="21" max="21" width="9.85546875" bestFit="1" customWidth="1"/>
  </cols>
  <sheetData>
    <row r="1" spans="1:21" s="67" customFormat="1" ht="75" x14ac:dyDescent="0.25">
      <c r="A1" s="40" t="s">
        <v>4</v>
      </c>
      <c r="B1" s="40" t="s">
        <v>10</v>
      </c>
      <c r="C1" s="46" t="s">
        <v>298</v>
      </c>
      <c r="D1" s="46" t="s">
        <v>13</v>
      </c>
      <c r="E1" s="46" t="s">
        <v>14</v>
      </c>
      <c r="F1" s="40" t="s">
        <v>302</v>
      </c>
      <c r="G1" s="40" t="s">
        <v>9</v>
      </c>
      <c r="H1" s="40" t="s">
        <v>402</v>
      </c>
      <c r="I1" s="40" t="s">
        <v>379</v>
      </c>
      <c r="J1" s="68" t="s">
        <v>380</v>
      </c>
      <c r="K1" s="69" t="s">
        <v>381</v>
      </c>
      <c r="L1" s="69" t="s">
        <v>382</v>
      </c>
      <c r="M1" s="27" t="s">
        <v>383</v>
      </c>
      <c r="N1" s="40" t="s">
        <v>384</v>
      </c>
      <c r="O1" s="70" t="s">
        <v>385</v>
      </c>
      <c r="P1" s="70" t="s">
        <v>386</v>
      </c>
      <c r="Q1" s="32" t="s">
        <v>387</v>
      </c>
      <c r="R1" s="71" t="s">
        <v>388</v>
      </c>
      <c r="S1" s="71" t="s">
        <v>389</v>
      </c>
      <c r="T1" s="51" t="s">
        <v>390</v>
      </c>
      <c r="U1" s="40" t="s">
        <v>337</v>
      </c>
    </row>
    <row r="2" spans="1:21" x14ac:dyDescent="0.25">
      <c r="A2" t="s">
        <v>246</v>
      </c>
      <c r="B2" t="str">
        <f t="shared" ref="B2:B7" si="0">"misc"&amp;MID(A2,5,99)</f>
        <v>misc_flare1</v>
      </c>
      <c r="C2" s="20">
        <v>365</v>
      </c>
      <c r="D2" s="21">
        <v>237</v>
      </c>
      <c r="E2" s="21">
        <v>1.8749999999999999E-2</v>
      </c>
      <c r="F2" s="4" t="s">
        <v>135</v>
      </c>
      <c r="G2" t="s">
        <v>392</v>
      </c>
      <c r="H2" t="s">
        <v>378</v>
      </c>
      <c r="I2" t="b">
        <v>0</v>
      </c>
      <c r="J2" s="38">
        <v>0</v>
      </c>
      <c r="K2" s="38">
        <v>0</v>
      </c>
      <c r="L2" s="38">
        <v>0</v>
      </c>
      <c r="M2" s="38">
        <v>1E-4</v>
      </c>
      <c r="N2" t="b">
        <v>0</v>
      </c>
      <c r="O2" s="23">
        <v>0</v>
      </c>
      <c r="P2" s="23">
        <v>0</v>
      </c>
      <c r="Q2" s="24">
        <v>1E-4</v>
      </c>
      <c r="R2" s="25">
        <v>0</v>
      </c>
      <c r="S2" s="25">
        <v>0</v>
      </c>
      <c r="T2" s="26">
        <v>1E-4</v>
      </c>
      <c r="U2" t="s">
        <v>408</v>
      </c>
    </row>
    <row r="3" spans="1:21" x14ac:dyDescent="0.25">
      <c r="A3" t="s">
        <v>247</v>
      </c>
      <c r="B3" t="str">
        <f t="shared" si="0"/>
        <v>misc_flare2</v>
      </c>
      <c r="C3" s="20">
        <v>365</v>
      </c>
      <c r="D3" s="21">
        <v>593</v>
      </c>
      <c r="E3" s="21">
        <v>1.8749999999999999E-2</v>
      </c>
      <c r="F3" s="4" t="s">
        <v>135</v>
      </c>
      <c r="G3" t="s">
        <v>392</v>
      </c>
      <c r="H3" t="s">
        <v>378</v>
      </c>
      <c r="I3" t="b">
        <v>0</v>
      </c>
      <c r="J3" s="38">
        <v>0</v>
      </c>
      <c r="K3" s="38">
        <v>0</v>
      </c>
      <c r="L3" s="38">
        <v>0</v>
      </c>
      <c r="M3" s="38">
        <v>1E-4</v>
      </c>
      <c r="N3" t="b">
        <v>0</v>
      </c>
      <c r="O3" s="23">
        <v>0</v>
      </c>
      <c r="P3" s="23">
        <v>0</v>
      </c>
      <c r="Q3" s="24">
        <v>1E-4</v>
      </c>
      <c r="R3" s="25">
        <v>0</v>
      </c>
      <c r="S3" s="25">
        <v>0</v>
      </c>
      <c r="T3" s="26">
        <v>1E-4</v>
      </c>
      <c r="U3" t="s">
        <v>408</v>
      </c>
    </row>
    <row r="4" spans="1:21" x14ac:dyDescent="0.25">
      <c r="A4" t="s">
        <v>248</v>
      </c>
      <c r="B4" t="str">
        <f t="shared" si="0"/>
        <v>misc_train1</v>
      </c>
      <c r="C4" s="20">
        <v>365</v>
      </c>
      <c r="D4" s="21">
        <v>356</v>
      </c>
      <c r="E4" s="21">
        <v>1.8749999999999999E-2</v>
      </c>
      <c r="F4" s="4" t="s">
        <v>135</v>
      </c>
      <c r="G4" t="s">
        <v>392</v>
      </c>
      <c r="H4" t="s">
        <v>378</v>
      </c>
      <c r="I4" t="b">
        <v>1</v>
      </c>
      <c r="J4" s="38">
        <v>1</v>
      </c>
      <c r="K4" s="39">
        <v>0</v>
      </c>
      <c r="L4" s="39">
        <v>182.5</v>
      </c>
      <c r="M4" s="38">
        <v>7.3332999999999995E-2</v>
      </c>
      <c r="N4" t="b">
        <v>1</v>
      </c>
      <c r="O4" s="23">
        <v>0</v>
      </c>
      <c r="P4" s="23">
        <v>182.5</v>
      </c>
      <c r="Q4" s="24">
        <v>0.11364</v>
      </c>
      <c r="R4" s="25">
        <v>0</v>
      </c>
      <c r="S4" s="25">
        <v>121.66670000000001</v>
      </c>
      <c r="T4" s="26">
        <v>0.11364</v>
      </c>
      <c r="U4" t="s">
        <v>408</v>
      </c>
    </row>
    <row r="5" spans="1:21" x14ac:dyDescent="0.25">
      <c r="A5" t="s">
        <v>249</v>
      </c>
      <c r="B5" t="str">
        <f t="shared" si="0"/>
        <v>misc_train2</v>
      </c>
      <c r="C5" s="20">
        <v>365</v>
      </c>
      <c r="D5" s="21">
        <v>712</v>
      </c>
      <c r="E5" s="21">
        <v>1.8749999999999999E-2</v>
      </c>
      <c r="F5" s="4" t="s">
        <v>135</v>
      </c>
      <c r="G5" t="s">
        <v>392</v>
      </c>
      <c r="H5" t="s">
        <v>378</v>
      </c>
      <c r="I5" t="b">
        <v>1</v>
      </c>
      <c r="J5" s="38">
        <v>1</v>
      </c>
      <c r="K5" s="39">
        <v>0</v>
      </c>
      <c r="L5" s="39">
        <v>182.5</v>
      </c>
      <c r="M5" s="38">
        <v>7.3332999999999995E-2</v>
      </c>
      <c r="N5" t="b">
        <v>1</v>
      </c>
      <c r="O5" s="23">
        <v>0</v>
      </c>
      <c r="P5" s="23">
        <v>182.5</v>
      </c>
      <c r="Q5" s="24">
        <v>0.11364</v>
      </c>
      <c r="R5" s="25">
        <v>0</v>
      </c>
      <c r="S5" s="25">
        <v>121.66670000000001</v>
      </c>
      <c r="T5" s="26">
        <v>0.11364</v>
      </c>
      <c r="U5" t="s">
        <v>408</v>
      </c>
    </row>
    <row r="6" spans="1:21" x14ac:dyDescent="0.25">
      <c r="A6" t="s">
        <v>250</v>
      </c>
      <c r="B6" t="str">
        <f t="shared" si="0"/>
        <v>misc_water</v>
      </c>
      <c r="C6" s="20">
        <v>365</v>
      </c>
      <c r="D6" s="21">
        <v>474</v>
      </c>
      <c r="E6" s="21">
        <v>1.8749999999999999E-2</v>
      </c>
      <c r="F6" s="4" t="s">
        <v>135</v>
      </c>
      <c r="G6" t="s">
        <v>392</v>
      </c>
      <c r="H6" t="s">
        <v>378</v>
      </c>
      <c r="I6" t="b">
        <v>0</v>
      </c>
      <c r="J6" s="38">
        <v>0</v>
      </c>
      <c r="K6" s="38">
        <v>0</v>
      </c>
      <c r="L6" s="38">
        <v>0</v>
      </c>
      <c r="M6" s="38">
        <v>1E-4</v>
      </c>
      <c r="N6" t="b">
        <v>0</v>
      </c>
      <c r="O6" s="24">
        <v>0</v>
      </c>
      <c r="P6" s="24">
        <v>0</v>
      </c>
      <c r="Q6" s="24">
        <v>1E-4</v>
      </c>
      <c r="R6" s="26">
        <v>0</v>
      </c>
      <c r="S6" s="26">
        <v>0</v>
      </c>
      <c r="T6" s="26">
        <v>1E-4</v>
      </c>
      <c r="U6" t="s">
        <v>408</v>
      </c>
    </row>
    <row r="7" spans="1:21" x14ac:dyDescent="0.25">
      <c r="A7" t="s">
        <v>251</v>
      </c>
      <c r="B7" t="str">
        <f t="shared" si="0"/>
        <v>misc_yard2</v>
      </c>
      <c r="C7" s="20">
        <v>365</v>
      </c>
      <c r="D7" s="21">
        <v>712</v>
      </c>
      <c r="E7" s="21">
        <v>1.8749999999999999E-2</v>
      </c>
      <c r="F7" s="4" t="s">
        <v>135</v>
      </c>
      <c r="G7" t="s">
        <v>392</v>
      </c>
      <c r="H7" t="s">
        <v>378</v>
      </c>
      <c r="I7" t="b">
        <v>0</v>
      </c>
      <c r="J7" s="38">
        <v>0</v>
      </c>
      <c r="K7" s="38">
        <v>0</v>
      </c>
      <c r="L7" s="38">
        <v>0</v>
      </c>
      <c r="M7" s="38">
        <v>1E-4</v>
      </c>
      <c r="N7" t="b">
        <v>0</v>
      </c>
      <c r="O7" s="24">
        <v>0</v>
      </c>
      <c r="P7" s="24">
        <v>0</v>
      </c>
      <c r="Q7" s="24">
        <v>1E-4</v>
      </c>
      <c r="R7" s="26">
        <v>0</v>
      </c>
      <c r="S7" s="26">
        <v>0</v>
      </c>
      <c r="T7" s="26">
        <v>1E-4</v>
      </c>
      <c r="U7" t="s">
        <v>408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8E3A-36AD-482A-95D7-1181F09EB233}">
  <dimension ref="C2:I21"/>
  <sheetViews>
    <sheetView topLeftCell="B1" workbookViewId="0">
      <selection activeCell="L5" sqref="L5"/>
    </sheetView>
  </sheetViews>
  <sheetFormatPr defaultRowHeight="15" x14ac:dyDescent="0.25"/>
  <cols>
    <col min="5" max="5" width="12.42578125" customWidth="1"/>
    <col min="6" max="6" width="10.85546875" bestFit="1" customWidth="1"/>
    <col min="7" max="8" width="13.28515625" customWidth="1"/>
  </cols>
  <sheetData>
    <row r="2" spans="5:9" x14ac:dyDescent="0.25">
      <c r="H2" s="14" t="s">
        <v>260</v>
      </c>
      <c r="I2">
        <v>3084</v>
      </c>
    </row>
    <row r="5" spans="5:9" s="8" customFormat="1" ht="45" x14ac:dyDescent="0.25">
      <c r="E5" s="8" t="s">
        <v>252</v>
      </c>
      <c r="F5" s="8" t="s">
        <v>253</v>
      </c>
      <c r="G5" s="8" t="s">
        <v>254</v>
      </c>
      <c r="H5" s="8" t="s">
        <v>255</v>
      </c>
    </row>
    <row r="6" spans="5:9" x14ac:dyDescent="0.25">
      <c r="E6" t="s">
        <v>246</v>
      </c>
      <c r="F6">
        <v>2</v>
      </c>
      <c r="G6">
        <v>0.23511000000000001</v>
      </c>
      <c r="H6">
        <v>0.17669000000000001</v>
      </c>
      <c r="I6">
        <f t="shared" ref="I6:I11" si="0">ROUND(F6/$F$12*$I$2,0)</f>
        <v>237</v>
      </c>
    </row>
    <row r="7" spans="5:9" x14ac:dyDescent="0.25">
      <c r="E7" t="s">
        <v>247</v>
      </c>
      <c r="F7">
        <v>5</v>
      </c>
      <c r="G7">
        <v>0.23097999999999999</v>
      </c>
      <c r="H7">
        <v>0.17615</v>
      </c>
      <c r="I7">
        <f t="shared" si="0"/>
        <v>593</v>
      </c>
    </row>
    <row r="8" spans="5:9" x14ac:dyDescent="0.25">
      <c r="E8" t="s">
        <v>248</v>
      </c>
      <c r="F8">
        <v>3</v>
      </c>
      <c r="G8">
        <v>0.23569000000000001</v>
      </c>
      <c r="H8">
        <v>0.1719</v>
      </c>
      <c r="I8">
        <f t="shared" si="0"/>
        <v>356</v>
      </c>
    </row>
    <row r="9" spans="5:9" x14ac:dyDescent="0.25">
      <c r="E9" t="s">
        <v>249</v>
      </c>
      <c r="F9">
        <v>6</v>
      </c>
      <c r="G9">
        <v>0.23146</v>
      </c>
      <c r="H9">
        <v>0.17277999999999999</v>
      </c>
      <c r="I9">
        <f t="shared" si="0"/>
        <v>712</v>
      </c>
    </row>
    <row r="10" spans="5:9" x14ac:dyDescent="0.25">
      <c r="E10" t="s">
        <v>250</v>
      </c>
      <c r="F10">
        <v>4</v>
      </c>
      <c r="G10">
        <v>0.23494999999999999</v>
      </c>
      <c r="H10">
        <v>0.16136</v>
      </c>
      <c r="I10">
        <f t="shared" si="0"/>
        <v>474</v>
      </c>
    </row>
    <row r="11" spans="5:9" x14ac:dyDescent="0.25">
      <c r="E11" t="s">
        <v>251</v>
      </c>
      <c r="F11">
        <v>6</v>
      </c>
      <c r="G11">
        <v>0.23091</v>
      </c>
      <c r="H11">
        <v>0.17019000000000001</v>
      </c>
      <c r="I11">
        <f t="shared" si="0"/>
        <v>712</v>
      </c>
    </row>
    <row r="12" spans="5:9" x14ac:dyDescent="0.25">
      <c r="F12">
        <f>SUM(F6:F11)</f>
        <v>26</v>
      </c>
    </row>
    <row r="18" spans="3:9" x14ac:dyDescent="0.25">
      <c r="C18" t="s">
        <v>261</v>
      </c>
    </row>
    <row r="19" spans="3:9" x14ac:dyDescent="0.25">
      <c r="E19" t="s">
        <v>123</v>
      </c>
      <c r="F19" s="11" t="s">
        <v>248</v>
      </c>
      <c r="G19" s="11" t="s">
        <v>88</v>
      </c>
      <c r="H19" s="11" t="s">
        <v>248</v>
      </c>
      <c r="I19" s="11" t="s">
        <v>256</v>
      </c>
    </row>
    <row r="20" spans="3:9" x14ac:dyDescent="0.25">
      <c r="E20" t="s">
        <v>123</v>
      </c>
      <c r="F20" s="11" t="s">
        <v>249</v>
      </c>
      <c r="G20" s="11" t="s">
        <v>89</v>
      </c>
      <c r="H20" s="11" t="s">
        <v>249</v>
      </c>
      <c r="I20" s="11" t="s">
        <v>257</v>
      </c>
    </row>
    <row r="21" spans="3:9" x14ac:dyDescent="0.25">
      <c r="E21" t="s">
        <v>123</v>
      </c>
      <c r="F21" s="11" t="s">
        <v>249</v>
      </c>
      <c r="G21" s="11" t="s">
        <v>90</v>
      </c>
      <c r="H21" s="11" t="s">
        <v>249</v>
      </c>
      <c r="I21" s="11" t="s">
        <v>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3"/>
  <sheetViews>
    <sheetView topLeftCell="K1" workbookViewId="0">
      <selection activeCell="X9" sqref="X9"/>
    </sheetView>
  </sheetViews>
  <sheetFormatPr defaultRowHeight="15" x14ac:dyDescent="0.25"/>
  <cols>
    <col min="1" max="1" width="10.7109375" bestFit="1" customWidth="1"/>
    <col min="2" max="2" width="20.140625" bestFit="1" customWidth="1"/>
    <col min="3" max="5" width="11.42578125" bestFit="1" customWidth="1"/>
    <col min="6" max="6" width="9.5703125" style="4" bestFit="1" customWidth="1"/>
    <col min="7" max="7" width="16.28515625" bestFit="1" customWidth="1"/>
    <col min="8" max="8" width="17.42578125" customWidth="1"/>
    <col min="9" max="9" width="23.42578125" bestFit="1" customWidth="1"/>
    <col min="10" max="10" width="16.28515625" bestFit="1" customWidth="1"/>
    <col min="11" max="12" width="11.42578125" bestFit="1" customWidth="1"/>
    <col min="13" max="13" width="11.5703125" bestFit="1" customWidth="1"/>
    <col min="14" max="16" width="12" bestFit="1" customWidth="1"/>
    <col min="17" max="18" width="13.140625" bestFit="1" customWidth="1"/>
    <col min="19" max="19" width="13.28515625" bestFit="1" customWidth="1"/>
    <col min="20" max="20" width="17" bestFit="1" customWidth="1"/>
    <col min="21" max="21" width="12.28515625" bestFit="1" customWidth="1"/>
    <col min="22" max="22" width="12.140625" bestFit="1" customWidth="1"/>
    <col min="23" max="23" width="16" bestFit="1" customWidth="1"/>
    <col min="24" max="24" width="82" bestFit="1" customWidth="1"/>
    <col min="25" max="25" width="9.85546875" bestFit="1" customWidth="1"/>
  </cols>
  <sheetData>
    <row r="1" spans="1:25" s="2" customFormat="1" ht="60" x14ac:dyDescent="0.25">
      <c r="A1" s="3" t="s">
        <v>4</v>
      </c>
      <c r="B1" s="3" t="s">
        <v>10</v>
      </c>
      <c r="C1" s="66" t="s">
        <v>13</v>
      </c>
      <c r="D1" s="46" t="s">
        <v>298</v>
      </c>
      <c r="E1" s="46" t="s">
        <v>14</v>
      </c>
      <c r="F1" s="3" t="s">
        <v>309</v>
      </c>
      <c r="G1" s="3" t="s">
        <v>369</v>
      </c>
      <c r="H1" s="3" t="s">
        <v>370</v>
      </c>
      <c r="I1" s="40" t="s">
        <v>341</v>
      </c>
      <c r="J1" s="40" t="s">
        <v>342</v>
      </c>
      <c r="K1" s="37" t="s">
        <v>310</v>
      </c>
      <c r="L1" s="37" t="s">
        <v>311</v>
      </c>
      <c r="M1" s="37" t="s">
        <v>109</v>
      </c>
      <c r="N1" s="31" t="s">
        <v>312</v>
      </c>
      <c r="O1" s="31" t="s">
        <v>313</v>
      </c>
      <c r="P1" s="31" t="s">
        <v>110</v>
      </c>
      <c r="Q1" s="44" t="s">
        <v>349</v>
      </c>
      <c r="R1" s="44" t="s">
        <v>350</v>
      </c>
      <c r="S1" s="44" t="s">
        <v>351</v>
      </c>
      <c r="T1" s="44" t="s">
        <v>362</v>
      </c>
      <c r="U1" s="44" t="s">
        <v>363</v>
      </c>
      <c r="V1" s="44" t="s">
        <v>364</v>
      </c>
      <c r="W1" s="3" t="s">
        <v>9</v>
      </c>
      <c r="X1" s="3" t="s">
        <v>402</v>
      </c>
      <c r="Y1" s="40" t="s">
        <v>337</v>
      </c>
    </row>
    <row r="2" spans="1:25" x14ac:dyDescent="0.25">
      <c r="A2" t="s">
        <v>250</v>
      </c>
      <c r="B2" t="s">
        <v>111</v>
      </c>
      <c r="C2" s="20">
        <v>2</v>
      </c>
      <c r="D2" s="20">
        <v>365</v>
      </c>
      <c r="E2" s="20">
        <v>4.3276E-3</v>
      </c>
      <c r="F2" s="4" t="s">
        <v>135</v>
      </c>
      <c r="G2" t="s">
        <v>113</v>
      </c>
      <c r="H2" t="s">
        <v>293</v>
      </c>
      <c r="I2">
        <v>2</v>
      </c>
      <c r="J2">
        <v>1</v>
      </c>
      <c r="K2" s="36">
        <v>0</v>
      </c>
      <c r="L2" s="36">
        <v>365</v>
      </c>
      <c r="M2" s="36">
        <v>0.34166999999999997</v>
      </c>
      <c r="N2" s="30">
        <v>0</v>
      </c>
      <c r="O2" s="30">
        <v>365</v>
      </c>
      <c r="P2" s="30">
        <v>0.14960999999999999</v>
      </c>
      <c r="Q2" s="45">
        <v>15</v>
      </c>
      <c r="R2" s="45">
        <v>15</v>
      </c>
      <c r="S2" s="45">
        <v>0.1</v>
      </c>
      <c r="T2" s="65">
        <v>1000</v>
      </c>
      <c r="U2" s="65">
        <v>5000</v>
      </c>
      <c r="V2" s="65">
        <v>3000</v>
      </c>
      <c r="W2" t="s">
        <v>365</v>
      </c>
      <c r="X2" t="s">
        <v>404</v>
      </c>
      <c r="Y2" t="s">
        <v>409</v>
      </c>
    </row>
    <row r="3" spans="1:25" x14ac:dyDescent="0.25">
      <c r="A3" t="s">
        <v>247</v>
      </c>
      <c r="B3" t="s">
        <v>114</v>
      </c>
      <c r="C3" s="20">
        <v>2</v>
      </c>
      <c r="D3" s="20">
        <v>365</v>
      </c>
      <c r="E3" s="20">
        <v>4.3276E-3</v>
      </c>
      <c r="F3" s="4" t="s">
        <v>135</v>
      </c>
      <c r="G3" t="s">
        <v>115</v>
      </c>
      <c r="H3" t="s">
        <v>292</v>
      </c>
      <c r="I3">
        <v>2</v>
      </c>
      <c r="J3">
        <v>1</v>
      </c>
      <c r="K3" s="36">
        <v>0</v>
      </c>
      <c r="L3" s="36">
        <v>365</v>
      </c>
      <c r="M3" s="36">
        <v>0.34166999999999997</v>
      </c>
      <c r="N3" s="30">
        <v>0</v>
      </c>
      <c r="O3" s="30">
        <v>365</v>
      </c>
      <c r="P3" s="30">
        <v>0.14960999999999999</v>
      </c>
      <c r="Q3" s="45">
        <v>15</v>
      </c>
      <c r="R3" s="45">
        <v>15</v>
      </c>
      <c r="S3" s="45">
        <v>0.1</v>
      </c>
      <c r="T3" s="65">
        <v>1000</v>
      </c>
      <c r="U3" s="65">
        <v>5000</v>
      </c>
      <c r="V3" s="65">
        <v>3000</v>
      </c>
      <c r="W3" t="s">
        <v>365</v>
      </c>
      <c r="X3" t="s">
        <v>403</v>
      </c>
      <c r="Y3" t="s">
        <v>409</v>
      </c>
    </row>
  </sheetData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"/>
  <sheetViews>
    <sheetView topLeftCell="F1" workbookViewId="0">
      <selection activeCell="R12" sqref="R12"/>
    </sheetView>
  </sheetViews>
  <sheetFormatPr defaultRowHeight="15" x14ac:dyDescent="0.25"/>
  <cols>
    <col min="1" max="1" width="12.42578125" customWidth="1"/>
    <col min="2" max="2" width="15.140625" bestFit="1" customWidth="1"/>
    <col min="3" max="3" width="13.7109375" customWidth="1"/>
    <col min="4" max="5" width="11.5703125" customWidth="1"/>
    <col min="6" max="6" width="15.7109375" customWidth="1"/>
    <col min="7" max="16" width="11.5703125" customWidth="1"/>
    <col min="17" max="17" width="32.7109375" customWidth="1"/>
    <col min="18" max="18" width="82" bestFit="1" customWidth="1"/>
    <col min="19" max="19" width="9.85546875" bestFit="1" customWidth="1"/>
  </cols>
  <sheetData>
    <row r="1" spans="1:19" s="2" customFormat="1" ht="60" x14ac:dyDescent="0.25">
      <c r="A1" s="3" t="s">
        <v>4</v>
      </c>
      <c r="B1" s="3" t="s">
        <v>10</v>
      </c>
      <c r="C1" s="19" t="s">
        <v>298</v>
      </c>
      <c r="D1" s="19" t="s">
        <v>13</v>
      </c>
      <c r="E1" s="19" t="s">
        <v>14</v>
      </c>
      <c r="F1" s="3" t="s">
        <v>104</v>
      </c>
      <c r="G1" s="3" t="s">
        <v>303</v>
      </c>
      <c r="H1" s="3" t="s">
        <v>304</v>
      </c>
      <c r="I1" s="3" t="s">
        <v>333</v>
      </c>
      <c r="J1" s="3" t="s">
        <v>105</v>
      </c>
      <c r="K1" s="3" t="s">
        <v>305</v>
      </c>
      <c r="L1" s="3" t="s">
        <v>306</v>
      </c>
      <c r="M1" s="3" t="s">
        <v>334</v>
      </c>
      <c r="N1" s="3" t="s">
        <v>307</v>
      </c>
      <c r="O1" s="3" t="s">
        <v>308</v>
      </c>
      <c r="P1" s="3" t="s">
        <v>335</v>
      </c>
      <c r="Q1" s="3" t="s">
        <v>9</v>
      </c>
      <c r="R1" s="3" t="s">
        <v>402</v>
      </c>
      <c r="S1" s="40" t="s">
        <v>337</v>
      </c>
    </row>
    <row r="2" spans="1:19" x14ac:dyDescent="0.25">
      <c r="A2" t="s">
        <v>249</v>
      </c>
      <c r="B2" t="s">
        <v>264</v>
      </c>
      <c r="C2" s="20">
        <v>365</v>
      </c>
      <c r="D2" s="20">
        <v>0</v>
      </c>
      <c r="E2" s="20">
        <v>1.2500000000000001E-2</v>
      </c>
      <c r="F2">
        <v>0.75</v>
      </c>
      <c r="G2">
        <v>1</v>
      </c>
      <c r="H2">
        <v>7</v>
      </c>
      <c r="I2">
        <v>0.9</v>
      </c>
      <c r="J2">
        <v>0.25</v>
      </c>
      <c r="K2">
        <v>8.3333329999999997E-2</v>
      </c>
      <c r="L2">
        <v>2</v>
      </c>
      <c r="M2">
        <v>0</v>
      </c>
      <c r="N2">
        <v>90</v>
      </c>
      <c r="O2">
        <v>360</v>
      </c>
      <c r="P2">
        <v>0.98</v>
      </c>
      <c r="Q2" t="s">
        <v>278</v>
      </c>
      <c r="R2" t="s">
        <v>403</v>
      </c>
      <c r="S2" t="s">
        <v>410</v>
      </c>
    </row>
  </sheetData>
  <phoneticPr fontId="3" type="noConversion"/>
  <pageMargins left="0.75" right="0.75" top="1" bottom="1" header="0.5" footer="0.5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>
      <selection activeCell="F20" sqref="F20"/>
    </sheetView>
  </sheetViews>
  <sheetFormatPr defaultRowHeight="15" x14ac:dyDescent="0.25"/>
  <cols>
    <col min="1" max="1" width="12.5703125" customWidth="1"/>
    <col min="2" max="2" width="13.28515625" bestFit="1" customWidth="1"/>
    <col min="3" max="4" width="12.85546875" customWidth="1"/>
    <col min="5" max="5" width="13.28515625" customWidth="1"/>
    <col min="6" max="6" width="12.85546875" customWidth="1"/>
    <col min="7" max="7" width="10.140625" customWidth="1"/>
    <col min="8" max="8" width="12.85546875" customWidth="1"/>
    <col min="9" max="9" width="20.140625" bestFit="1" customWidth="1"/>
    <col min="10" max="10" width="59.7109375" bestFit="1" customWidth="1"/>
  </cols>
  <sheetData>
    <row r="1" spans="1:10" s="2" customFormat="1" ht="75" x14ac:dyDescent="0.25">
      <c r="A1" s="3" t="s">
        <v>4</v>
      </c>
      <c r="B1" s="3" t="s">
        <v>10</v>
      </c>
      <c r="C1" s="3" t="s">
        <v>13</v>
      </c>
      <c r="D1" s="3" t="s">
        <v>106</v>
      </c>
      <c r="E1" s="3" t="s">
        <v>269</v>
      </c>
      <c r="F1" s="3" t="s">
        <v>107</v>
      </c>
      <c r="G1" s="3" t="s">
        <v>270</v>
      </c>
      <c r="H1" s="3" t="s">
        <v>108</v>
      </c>
      <c r="I1" s="3" t="s">
        <v>9</v>
      </c>
      <c r="J1" s="3" t="s">
        <v>402</v>
      </c>
    </row>
    <row r="2" spans="1:10" x14ac:dyDescent="0.25">
      <c r="A2" t="s">
        <v>248</v>
      </c>
      <c r="B2" t="s">
        <v>258</v>
      </c>
      <c r="C2">
        <v>1</v>
      </c>
      <c r="D2">
        <v>7.3332999999999995E-2</v>
      </c>
      <c r="E2" t="b">
        <v>1</v>
      </c>
      <c r="F2">
        <v>0.11364</v>
      </c>
      <c r="G2" t="b">
        <v>1</v>
      </c>
      <c r="H2">
        <v>0.11364</v>
      </c>
      <c r="I2" t="s">
        <v>279</v>
      </c>
      <c r="J2" t="s">
        <v>378</v>
      </c>
    </row>
    <row r="3" spans="1:10" x14ac:dyDescent="0.25">
      <c r="A3" t="s">
        <v>249</v>
      </c>
      <c r="B3" t="s">
        <v>259</v>
      </c>
      <c r="C3">
        <v>1</v>
      </c>
      <c r="D3">
        <v>7.3332999999999995E-2</v>
      </c>
      <c r="E3" t="b">
        <v>1</v>
      </c>
      <c r="F3">
        <v>0.11364</v>
      </c>
      <c r="G3" t="b">
        <v>1</v>
      </c>
      <c r="H3">
        <v>0.11364</v>
      </c>
      <c r="I3" t="s">
        <v>279</v>
      </c>
      <c r="J3" t="s">
        <v>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5"/>
  <sheetViews>
    <sheetView topLeftCell="AG1" workbookViewId="0">
      <selection activeCell="AS18" sqref="AS18"/>
    </sheetView>
  </sheetViews>
  <sheetFormatPr defaultRowHeight="15" x14ac:dyDescent="0.25"/>
  <cols>
    <col min="1" max="1" width="11.5703125" customWidth="1"/>
    <col min="2" max="2" width="15.28515625" customWidth="1"/>
    <col min="3" max="3" width="14.140625" customWidth="1"/>
    <col min="4" max="4" width="11" bestFit="1" customWidth="1"/>
    <col min="5" max="5" width="12.85546875" customWidth="1"/>
    <col min="6" max="9" width="11.28515625" customWidth="1"/>
    <col min="10" max="10" width="14.28515625" style="4" customWidth="1"/>
    <col min="11" max="12" width="11" customWidth="1"/>
    <col min="13" max="13" width="8.140625" customWidth="1"/>
    <col min="14" max="14" width="7.85546875" bestFit="1" customWidth="1"/>
    <col min="15" max="15" width="7.7109375" bestFit="1" customWidth="1"/>
    <col min="16" max="16" width="12.42578125" customWidth="1"/>
    <col min="17" max="17" width="10.7109375" customWidth="1"/>
    <col min="18" max="31" width="15.42578125" customWidth="1"/>
    <col min="32" max="32" width="27" bestFit="1" customWidth="1"/>
    <col min="33" max="33" width="19.85546875" bestFit="1" customWidth="1"/>
    <col min="34" max="34" width="20.7109375" bestFit="1" customWidth="1"/>
    <col min="35" max="35" width="19.85546875" bestFit="1" customWidth="1"/>
    <col min="36" max="36" width="9.85546875" bestFit="1" customWidth="1"/>
    <col min="47" max="47" width="16" bestFit="1" customWidth="1"/>
    <col min="48" max="49" width="14.5703125" bestFit="1" customWidth="1"/>
    <col min="50" max="50" width="9.7109375" bestFit="1" customWidth="1"/>
    <col min="51" max="51" width="8.5703125" bestFit="1" customWidth="1"/>
    <col min="52" max="52" width="7.85546875" bestFit="1" customWidth="1"/>
  </cols>
  <sheetData>
    <row r="1" spans="1:52" s="2" customFormat="1" ht="135" x14ac:dyDescent="0.25">
      <c r="A1" s="40" t="s">
        <v>4</v>
      </c>
      <c r="B1" s="40" t="s">
        <v>10</v>
      </c>
      <c r="C1" s="46" t="s">
        <v>298</v>
      </c>
      <c r="D1" s="46" t="s">
        <v>13</v>
      </c>
      <c r="E1" s="46" t="s">
        <v>14</v>
      </c>
      <c r="F1" s="29" t="s">
        <v>302</v>
      </c>
      <c r="G1" s="47" t="s">
        <v>367</v>
      </c>
      <c r="H1" s="40" t="s">
        <v>398</v>
      </c>
      <c r="I1" s="48" t="s">
        <v>366</v>
      </c>
      <c r="J1" s="37" t="s">
        <v>352</v>
      </c>
      <c r="K1" s="48" t="s">
        <v>91</v>
      </c>
      <c r="L1" s="48" t="s">
        <v>92</v>
      </c>
      <c r="M1" s="49" t="s">
        <v>93</v>
      </c>
      <c r="N1" s="49" t="s">
        <v>94</v>
      </c>
      <c r="O1" s="49" t="s">
        <v>396</v>
      </c>
      <c r="P1" s="49" t="s">
        <v>397</v>
      </c>
      <c r="Q1" s="50" t="s">
        <v>353</v>
      </c>
      <c r="R1" s="44" t="s">
        <v>322</v>
      </c>
      <c r="S1" s="44" t="s">
        <v>323</v>
      </c>
      <c r="T1" s="40" t="s">
        <v>324</v>
      </c>
      <c r="U1" s="40" t="s">
        <v>325</v>
      </c>
      <c r="V1" s="51" t="s">
        <v>326</v>
      </c>
      <c r="W1" s="52" t="s">
        <v>354</v>
      </c>
      <c r="X1" s="52" t="s">
        <v>355</v>
      </c>
      <c r="Y1" s="52" t="s">
        <v>95</v>
      </c>
      <c r="Z1" s="53" t="s">
        <v>368</v>
      </c>
      <c r="AA1" s="33" t="s">
        <v>327</v>
      </c>
      <c r="AB1" s="27" t="s">
        <v>314</v>
      </c>
      <c r="AC1" s="27" t="s">
        <v>315</v>
      </c>
      <c r="AD1" s="33" t="s">
        <v>96</v>
      </c>
      <c r="AE1" s="32" t="s">
        <v>328</v>
      </c>
      <c r="AF1" s="54" t="s">
        <v>316</v>
      </c>
      <c r="AG1" s="32" t="s">
        <v>317</v>
      </c>
      <c r="AH1" s="54" t="s">
        <v>268</v>
      </c>
      <c r="AI1" s="55" t="s">
        <v>329</v>
      </c>
      <c r="AJ1" s="56" t="s">
        <v>318</v>
      </c>
      <c r="AK1" s="56" t="s">
        <v>319</v>
      </c>
      <c r="AL1" s="56" t="s">
        <v>267</v>
      </c>
      <c r="AM1" s="57" t="s">
        <v>330</v>
      </c>
      <c r="AN1" s="57" t="s">
        <v>356</v>
      </c>
      <c r="AO1" s="57" t="s">
        <v>357</v>
      </c>
      <c r="AP1" s="57" t="s">
        <v>97</v>
      </c>
      <c r="AQ1" s="43" t="s">
        <v>331</v>
      </c>
      <c r="AR1" s="35" t="s">
        <v>358</v>
      </c>
      <c r="AS1" s="35" t="s">
        <v>359</v>
      </c>
      <c r="AT1" s="35" t="s">
        <v>266</v>
      </c>
      <c r="AU1" s="40" t="s">
        <v>9</v>
      </c>
      <c r="AV1" s="53" t="s">
        <v>402</v>
      </c>
      <c r="AW1" s="53" t="s">
        <v>321</v>
      </c>
      <c r="AX1" s="40" t="s">
        <v>337</v>
      </c>
      <c r="AY1" s="40" t="s">
        <v>393</v>
      </c>
      <c r="AZ1" s="40" t="s">
        <v>394</v>
      </c>
    </row>
    <row r="2" spans="1:52" x14ac:dyDescent="0.25">
      <c r="A2" t="s">
        <v>250</v>
      </c>
      <c r="B2" t="s">
        <v>116</v>
      </c>
      <c r="C2" s="20">
        <v>365</v>
      </c>
      <c r="D2" s="20">
        <v>400</v>
      </c>
      <c r="E2" s="20">
        <v>1.4999999999999999E-2</v>
      </c>
      <c r="F2" s="58" t="s">
        <v>135</v>
      </c>
      <c r="G2" s="28" t="s">
        <v>271</v>
      </c>
      <c r="H2" s="59">
        <v>735</v>
      </c>
      <c r="I2" s="36" t="s">
        <v>272</v>
      </c>
      <c r="J2" s="59" t="s">
        <v>100</v>
      </c>
      <c r="K2" s="36">
        <v>0.9</v>
      </c>
      <c r="L2" s="36">
        <v>0.05</v>
      </c>
      <c r="M2" s="60">
        <v>0.9</v>
      </c>
      <c r="N2" s="60">
        <v>0.5</v>
      </c>
      <c r="O2" s="60">
        <f>24*21</f>
        <v>504</v>
      </c>
      <c r="P2" s="60">
        <f>24*7*6</f>
        <v>1008</v>
      </c>
      <c r="Q2" s="61" t="s">
        <v>272</v>
      </c>
      <c r="R2" s="45">
        <v>3</v>
      </c>
      <c r="S2" s="45">
        <v>0</v>
      </c>
      <c r="T2">
        <f>60*15</f>
        <v>900</v>
      </c>
      <c r="U2">
        <f>ROUND(150*600/14.7,0)</f>
        <v>6122</v>
      </c>
      <c r="V2" s="62">
        <v>1</v>
      </c>
      <c r="W2" s="62">
        <v>0</v>
      </c>
      <c r="X2" s="62">
        <v>182.5</v>
      </c>
      <c r="Y2" s="62">
        <v>0.21634999999999999</v>
      </c>
      <c r="Z2" t="b">
        <v>1</v>
      </c>
      <c r="AA2" s="22">
        <v>1</v>
      </c>
      <c r="AB2" s="22">
        <v>0</v>
      </c>
      <c r="AC2" s="22">
        <v>182.5</v>
      </c>
      <c r="AD2" s="22">
        <v>8.3141000000000007E-2</v>
      </c>
      <c r="AE2" s="18">
        <v>1</v>
      </c>
      <c r="AF2" s="18">
        <v>0</v>
      </c>
      <c r="AG2" s="18">
        <v>182.5</v>
      </c>
      <c r="AH2" s="18">
        <v>0.47815999999999997</v>
      </c>
      <c r="AI2" s="63">
        <v>1</v>
      </c>
      <c r="AJ2" s="63">
        <v>0</v>
      </c>
      <c r="AK2" s="63">
        <v>121.66670000000001</v>
      </c>
      <c r="AL2" s="63">
        <v>2.6738E-3</v>
      </c>
      <c r="AM2" s="64">
        <v>1</v>
      </c>
      <c r="AN2" s="64">
        <v>0</v>
      </c>
      <c r="AO2" s="64">
        <v>182.5</v>
      </c>
      <c r="AP2" s="64">
        <v>0.11268</v>
      </c>
      <c r="AQ2" s="34">
        <v>1</v>
      </c>
      <c r="AR2" s="34">
        <v>0</v>
      </c>
      <c r="AS2" s="34">
        <v>121.66670000000001</v>
      </c>
      <c r="AT2" s="34">
        <v>2.7855000000000002E-3</v>
      </c>
      <c r="AU2" t="s">
        <v>277</v>
      </c>
      <c r="AV2" t="s">
        <v>378</v>
      </c>
      <c r="AW2" t="s">
        <v>378</v>
      </c>
      <c r="AX2" t="s">
        <v>407</v>
      </c>
      <c r="AY2">
        <v>0.35</v>
      </c>
      <c r="AZ2" t="s">
        <v>395</v>
      </c>
    </row>
    <row r="3" spans="1:52" x14ac:dyDescent="0.25">
      <c r="A3" t="s">
        <v>247</v>
      </c>
      <c r="B3" t="s">
        <v>117</v>
      </c>
      <c r="C3" s="20">
        <v>365</v>
      </c>
      <c r="D3" s="20">
        <v>400</v>
      </c>
      <c r="E3" s="20">
        <v>1.4999999999999999E-2</v>
      </c>
      <c r="F3" s="58" t="s">
        <v>135</v>
      </c>
      <c r="G3" s="28" t="s">
        <v>271</v>
      </c>
      <c r="H3" s="59">
        <v>735</v>
      </c>
      <c r="I3" s="36" t="s">
        <v>272</v>
      </c>
      <c r="J3" s="59" t="s">
        <v>100</v>
      </c>
      <c r="K3" s="36">
        <v>0.9</v>
      </c>
      <c r="L3" s="36">
        <v>0.05</v>
      </c>
      <c r="M3" s="60">
        <v>0.9</v>
      </c>
      <c r="N3" s="60">
        <v>0.5</v>
      </c>
      <c r="O3" s="60">
        <f>24*21</f>
        <v>504</v>
      </c>
      <c r="P3" s="60">
        <f>24*7*6</f>
        <v>1008</v>
      </c>
      <c r="Q3" s="61" t="s">
        <v>272</v>
      </c>
      <c r="R3" s="45">
        <v>3</v>
      </c>
      <c r="S3" s="45">
        <v>0</v>
      </c>
      <c r="T3">
        <f>60*15</f>
        <v>900</v>
      </c>
      <c r="U3">
        <f>ROUND(150*600/14.7,0)</f>
        <v>6122</v>
      </c>
      <c r="V3" s="62">
        <v>1</v>
      </c>
      <c r="W3" s="62">
        <v>0</v>
      </c>
      <c r="X3" s="62">
        <v>182.5</v>
      </c>
      <c r="Y3" s="62">
        <v>0.21634999999999999</v>
      </c>
      <c r="Z3" t="b">
        <v>1</v>
      </c>
      <c r="AA3" s="22">
        <v>1</v>
      </c>
      <c r="AB3" s="22">
        <v>0</v>
      </c>
      <c r="AC3" s="22">
        <v>182.5</v>
      </c>
      <c r="AD3" s="22">
        <v>8.3141000000000007E-2</v>
      </c>
      <c r="AE3" s="18">
        <v>1</v>
      </c>
      <c r="AF3" s="18">
        <v>0</v>
      </c>
      <c r="AG3" s="18">
        <v>182.5</v>
      </c>
      <c r="AH3" s="18">
        <v>0.47815999999999997</v>
      </c>
      <c r="AI3" s="63">
        <v>1</v>
      </c>
      <c r="AJ3" s="63">
        <v>0</v>
      </c>
      <c r="AK3" s="63">
        <v>121.66670000000001</v>
      </c>
      <c r="AL3" s="63">
        <v>2.6738E-3</v>
      </c>
      <c r="AM3" s="64">
        <v>1</v>
      </c>
      <c r="AN3" s="64">
        <v>0</v>
      </c>
      <c r="AO3" s="64">
        <v>182.5</v>
      </c>
      <c r="AP3" s="64">
        <v>0.11268</v>
      </c>
      <c r="AQ3" s="34">
        <v>1</v>
      </c>
      <c r="AR3" s="34">
        <v>0</v>
      </c>
      <c r="AS3" s="34">
        <v>121.66670000000001</v>
      </c>
      <c r="AT3" s="34">
        <v>2.7855000000000002E-3</v>
      </c>
      <c r="AU3" t="s">
        <v>277</v>
      </c>
      <c r="AV3" t="s">
        <v>378</v>
      </c>
      <c r="AW3" t="s">
        <v>378</v>
      </c>
      <c r="AX3" t="s">
        <v>407</v>
      </c>
      <c r="AY3">
        <v>0.35</v>
      </c>
      <c r="AZ3" t="s">
        <v>395</v>
      </c>
    </row>
    <row r="4" spans="1:52" x14ac:dyDescent="0.25">
      <c r="A4" t="s">
        <v>248</v>
      </c>
      <c r="B4" t="s">
        <v>262</v>
      </c>
      <c r="C4" s="20">
        <v>365</v>
      </c>
      <c r="D4" s="20">
        <v>400</v>
      </c>
      <c r="E4" s="20">
        <v>1.4999999999999999E-2</v>
      </c>
      <c r="F4" s="58" t="s">
        <v>135</v>
      </c>
      <c r="G4" s="28" t="s">
        <v>271</v>
      </c>
      <c r="H4" s="59">
        <v>735</v>
      </c>
      <c r="I4" s="36" t="s">
        <v>272</v>
      </c>
      <c r="J4" s="59" t="s">
        <v>100</v>
      </c>
      <c r="K4" s="36">
        <v>0.9</v>
      </c>
      <c r="L4" s="36">
        <v>0.05</v>
      </c>
      <c r="M4" s="60">
        <v>0.9</v>
      </c>
      <c r="N4" s="60">
        <v>0.5</v>
      </c>
      <c r="O4" s="60">
        <f>24*21</f>
        <v>504</v>
      </c>
      <c r="P4" s="60">
        <f>24*7*6</f>
        <v>1008</v>
      </c>
      <c r="Q4" s="61" t="s">
        <v>272</v>
      </c>
      <c r="R4" s="45">
        <v>3</v>
      </c>
      <c r="S4" s="45">
        <v>0</v>
      </c>
      <c r="T4">
        <f>60*15</f>
        <v>900</v>
      </c>
      <c r="U4">
        <f>ROUND(150*600/14.7,0)</f>
        <v>6122</v>
      </c>
      <c r="V4" s="62">
        <v>1</v>
      </c>
      <c r="W4" s="62">
        <v>0</v>
      </c>
      <c r="X4" s="62">
        <v>182.5</v>
      </c>
      <c r="Y4" s="62">
        <v>0.21634999999999999</v>
      </c>
      <c r="Z4" t="b">
        <v>1</v>
      </c>
      <c r="AA4" s="22">
        <v>1</v>
      </c>
      <c r="AB4" s="22">
        <v>0</v>
      </c>
      <c r="AC4" s="22">
        <v>182.5</v>
      </c>
      <c r="AD4" s="22">
        <v>8.3141000000000007E-2</v>
      </c>
      <c r="AE4" s="18">
        <v>1</v>
      </c>
      <c r="AF4" s="18">
        <v>0</v>
      </c>
      <c r="AG4" s="18">
        <v>182.5</v>
      </c>
      <c r="AH4" s="18">
        <v>0.47815999999999997</v>
      </c>
      <c r="AI4" s="63">
        <v>1</v>
      </c>
      <c r="AJ4" s="63">
        <v>0</v>
      </c>
      <c r="AK4" s="63">
        <v>121.66670000000001</v>
      </c>
      <c r="AL4" s="63">
        <v>2.6738E-3</v>
      </c>
      <c r="AM4" s="64">
        <v>1</v>
      </c>
      <c r="AN4" s="64">
        <v>0</v>
      </c>
      <c r="AO4" s="64">
        <v>182.5</v>
      </c>
      <c r="AP4" s="64">
        <v>0.11268</v>
      </c>
      <c r="AQ4" s="34">
        <v>1</v>
      </c>
      <c r="AR4" s="34">
        <v>0</v>
      </c>
      <c r="AS4" s="34">
        <v>121.66670000000001</v>
      </c>
      <c r="AT4" s="34">
        <v>2.7855000000000002E-3</v>
      </c>
      <c r="AU4" t="s">
        <v>277</v>
      </c>
      <c r="AV4" t="s">
        <v>378</v>
      </c>
      <c r="AW4" t="s">
        <v>378</v>
      </c>
      <c r="AX4" t="s">
        <v>407</v>
      </c>
      <c r="AY4">
        <v>0.35</v>
      </c>
      <c r="AZ4" t="s">
        <v>395</v>
      </c>
    </row>
    <row r="5" spans="1:52" x14ac:dyDescent="0.25">
      <c r="A5" t="s">
        <v>249</v>
      </c>
      <c r="B5" t="s">
        <v>263</v>
      </c>
      <c r="C5" s="20">
        <v>365</v>
      </c>
      <c r="D5" s="20">
        <v>400</v>
      </c>
      <c r="E5" s="20">
        <v>1.4999999999999999E-2</v>
      </c>
      <c r="F5" s="58" t="s">
        <v>135</v>
      </c>
      <c r="G5" s="28" t="s">
        <v>271</v>
      </c>
      <c r="H5" s="59">
        <v>735</v>
      </c>
      <c r="I5" s="36" t="s">
        <v>272</v>
      </c>
      <c r="J5" s="59" t="s">
        <v>100</v>
      </c>
      <c r="K5" s="36">
        <v>0.9</v>
      </c>
      <c r="L5" s="36">
        <v>0.05</v>
      </c>
      <c r="M5" s="60">
        <v>0.9</v>
      </c>
      <c r="N5" s="60">
        <v>0.5</v>
      </c>
      <c r="O5" s="60">
        <f>24*21</f>
        <v>504</v>
      </c>
      <c r="P5" s="60">
        <f>24*7*6</f>
        <v>1008</v>
      </c>
      <c r="Q5" s="61" t="s">
        <v>272</v>
      </c>
      <c r="R5" s="45">
        <v>3</v>
      </c>
      <c r="S5" s="45">
        <v>0</v>
      </c>
      <c r="T5">
        <f>60*15</f>
        <v>900</v>
      </c>
      <c r="U5">
        <f>ROUND(150*600/14.7,0)</f>
        <v>6122</v>
      </c>
      <c r="V5" s="62">
        <v>1</v>
      </c>
      <c r="W5" s="62">
        <v>0</v>
      </c>
      <c r="X5" s="62">
        <v>182.5</v>
      </c>
      <c r="Y5" s="62">
        <v>0.21634999999999999</v>
      </c>
      <c r="Z5" t="b">
        <v>1</v>
      </c>
      <c r="AA5" s="22">
        <v>1</v>
      </c>
      <c r="AB5" s="22">
        <v>0</v>
      </c>
      <c r="AC5" s="22">
        <v>182.5</v>
      </c>
      <c r="AD5" s="22">
        <v>8.3141000000000007E-2</v>
      </c>
      <c r="AE5" s="18">
        <v>1</v>
      </c>
      <c r="AF5" s="18">
        <v>0</v>
      </c>
      <c r="AG5" s="18">
        <v>182.5</v>
      </c>
      <c r="AH5" s="18">
        <v>0.47815999999999997</v>
      </c>
      <c r="AI5" s="63">
        <v>1</v>
      </c>
      <c r="AJ5" s="63">
        <v>0</v>
      </c>
      <c r="AK5" s="63">
        <v>121.66670000000001</v>
      </c>
      <c r="AL5" s="63">
        <v>2.6738E-3</v>
      </c>
      <c r="AM5" s="64">
        <v>1</v>
      </c>
      <c r="AN5" s="64">
        <v>0</v>
      </c>
      <c r="AO5" s="64">
        <v>182.5</v>
      </c>
      <c r="AP5" s="64">
        <v>0.11268</v>
      </c>
      <c r="AQ5" s="34">
        <v>1</v>
      </c>
      <c r="AR5" s="34">
        <v>0</v>
      </c>
      <c r="AS5" s="34">
        <v>121.66670000000001</v>
      </c>
      <c r="AT5" s="34">
        <v>2.7855000000000002E-3</v>
      </c>
      <c r="AU5" t="s">
        <v>277</v>
      </c>
      <c r="AV5" t="s">
        <v>378</v>
      </c>
      <c r="AW5" t="s">
        <v>378</v>
      </c>
      <c r="AX5" t="s">
        <v>407</v>
      </c>
      <c r="AY5">
        <v>0.35</v>
      </c>
      <c r="AZ5" t="s">
        <v>395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98"/>
  <sheetViews>
    <sheetView workbookViewId="0">
      <selection activeCell="E11" sqref="E11"/>
    </sheetView>
  </sheetViews>
  <sheetFormatPr defaultRowHeight="15" x14ac:dyDescent="0.25"/>
  <cols>
    <col min="1" max="1" width="18.85546875" style="4" bestFit="1" customWidth="1"/>
    <col min="2" max="2" width="11" style="11" bestFit="1" customWidth="1"/>
    <col min="3" max="3" width="19.140625" style="11" bestFit="1" customWidth="1"/>
    <col min="4" max="4" width="11" style="11" bestFit="1" customWidth="1"/>
    <col min="5" max="5" width="19.140625" style="11" bestFit="1" customWidth="1"/>
    <col min="6" max="6" width="14.140625" style="4" bestFit="1" customWidth="1"/>
    <col min="7" max="7" width="20.28515625" style="4" bestFit="1" customWidth="1"/>
    <col min="10" max="10" width="10.28515625" bestFit="1" customWidth="1"/>
    <col min="11" max="11" width="13.85546875" bestFit="1" customWidth="1"/>
  </cols>
  <sheetData>
    <row r="1" spans="1:7" s="2" customFormat="1" ht="30" x14ac:dyDescent="0.25">
      <c r="A1" s="5" t="s">
        <v>9</v>
      </c>
      <c r="B1" s="9" t="s">
        <v>118</v>
      </c>
      <c r="C1" s="9" t="s">
        <v>119</v>
      </c>
      <c r="D1" s="9" t="s">
        <v>120</v>
      </c>
      <c r="E1" s="9" t="s">
        <v>121</v>
      </c>
      <c r="F1" s="5" t="s">
        <v>15</v>
      </c>
      <c r="G1" s="5" t="s">
        <v>122</v>
      </c>
    </row>
    <row r="2" spans="1:7" x14ac:dyDescent="0.25">
      <c r="A2"/>
      <c r="B2" s="10"/>
      <c r="C2" s="10"/>
    </row>
    <row r="3" spans="1:7" x14ac:dyDescent="0.25">
      <c r="A3"/>
      <c r="B3" s="10"/>
      <c r="C3" s="10"/>
    </row>
    <row r="4" spans="1:7" x14ac:dyDescent="0.25">
      <c r="A4"/>
      <c r="B4" s="10"/>
      <c r="C4" s="10"/>
    </row>
    <row r="5" spans="1:7" x14ac:dyDescent="0.25">
      <c r="A5"/>
      <c r="B5" s="10"/>
      <c r="C5" s="10"/>
    </row>
    <row r="6" spans="1:7" x14ac:dyDescent="0.25">
      <c r="A6"/>
      <c r="B6" s="10"/>
      <c r="C6" s="10"/>
    </row>
    <row r="7" spans="1:7" x14ac:dyDescent="0.25">
      <c r="A7"/>
      <c r="B7" s="10"/>
      <c r="C7" s="10"/>
    </row>
    <row r="8" spans="1:7" x14ac:dyDescent="0.25">
      <c r="A8"/>
      <c r="B8" s="10"/>
      <c r="C8" s="10"/>
    </row>
    <row r="9" spans="1:7" x14ac:dyDescent="0.25">
      <c r="A9"/>
      <c r="B9" s="10"/>
      <c r="C9" s="10"/>
    </row>
    <row r="10" spans="1:7" x14ac:dyDescent="0.25">
      <c r="A10"/>
      <c r="B10" s="10"/>
      <c r="C10" s="10"/>
    </row>
    <row r="11" spans="1:7" x14ac:dyDescent="0.25">
      <c r="A11"/>
      <c r="B11" s="10"/>
      <c r="C11" s="10"/>
    </row>
    <row r="12" spans="1:7" x14ac:dyDescent="0.25">
      <c r="A12"/>
      <c r="B12" s="10"/>
      <c r="C12" s="10"/>
    </row>
    <row r="13" spans="1:7" x14ac:dyDescent="0.25">
      <c r="A13"/>
      <c r="B13" s="10"/>
      <c r="C13" s="10"/>
    </row>
    <row r="14" spans="1:7" x14ac:dyDescent="0.25">
      <c r="A14"/>
      <c r="B14" s="10"/>
      <c r="C14" s="10"/>
    </row>
    <row r="15" spans="1:7" x14ac:dyDescent="0.25">
      <c r="A15"/>
      <c r="B15" s="10"/>
      <c r="C15" s="10"/>
    </row>
    <row r="16" spans="1:7" x14ac:dyDescent="0.25">
      <c r="A16"/>
      <c r="B16" s="10"/>
      <c r="C16" s="10"/>
    </row>
    <row r="17" spans="1:3" x14ac:dyDescent="0.25">
      <c r="A17"/>
      <c r="B17" s="10"/>
      <c r="C17" s="10"/>
    </row>
    <row r="18" spans="1:3" x14ac:dyDescent="0.25">
      <c r="A18"/>
      <c r="B18" s="10"/>
      <c r="C18" s="10"/>
    </row>
    <row r="19" spans="1:3" x14ac:dyDescent="0.25">
      <c r="A19"/>
      <c r="B19" s="10"/>
      <c r="C19" s="10"/>
    </row>
    <row r="20" spans="1:3" x14ac:dyDescent="0.25">
      <c r="A20"/>
      <c r="B20" s="10"/>
      <c r="C20" s="10"/>
    </row>
    <row r="21" spans="1:3" x14ac:dyDescent="0.25">
      <c r="A21"/>
      <c r="B21" s="10"/>
      <c r="C21" s="10"/>
    </row>
    <row r="22" spans="1:3" x14ac:dyDescent="0.25">
      <c r="A22"/>
      <c r="B22" s="10"/>
      <c r="C22" s="10"/>
    </row>
    <row r="23" spans="1:3" x14ac:dyDescent="0.25">
      <c r="A23"/>
      <c r="B23" s="10"/>
      <c r="C23" s="10"/>
    </row>
    <row r="24" spans="1:3" x14ac:dyDescent="0.25">
      <c r="A24"/>
      <c r="B24" s="10"/>
      <c r="C24" s="10"/>
    </row>
    <row r="25" spans="1:3" x14ac:dyDescent="0.25">
      <c r="A25"/>
      <c r="B25" s="10"/>
      <c r="C25" s="10"/>
    </row>
    <row r="26" spans="1:3" x14ac:dyDescent="0.25">
      <c r="A26"/>
      <c r="B26" s="10"/>
      <c r="C26" s="10"/>
    </row>
    <row r="27" spans="1:3" x14ac:dyDescent="0.25">
      <c r="A27"/>
      <c r="B27" s="10"/>
      <c r="C27" s="10"/>
    </row>
    <row r="28" spans="1:3" x14ac:dyDescent="0.25">
      <c r="A28"/>
      <c r="B28" s="10"/>
      <c r="C28" s="10"/>
    </row>
    <row r="29" spans="1:3" x14ac:dyDescent="0.25">
      <c r="A29"/>
      <c r="B29" s="10"/>
      <c r="C29" s="10"/>
    </row>
    <row r="30" spans="1:3" x14ac:dyDescent="0.25">
      <c r="A30"/>
      <c r="B30" s="10"/>
      <c r="C30" s="10"/>
    </row>
    <row r="31" spans="1:3" x14ac:dyDescent="0.25">
      <c r="A31"/>
      <c r="B31" s="10"/>
      <c r="C31" s="10"/>
    </row>
    <row r="32" spans="1:3" x14ac:dyDescent="0.25">
      <c r="A32"/>
      <c r="B32" s="10"/>
      <c r="C32" s="10"/>
    </row>
    <row r="33" spans="1:3" x14ac:dyDescent="0.25">
      <c r="A33"/>
      <c r="B33" s="10"/>
      <c r="C33" s="10"/>
    </row>
    <row r="34" spans="1:3" x14ac:dyDescent="0.25">
      <c r="A34"/>
      <c r="B34" s="10"/>
      <c r="C34" s="10"/>
    </row>
    <row r="35" spans="1:3" x14ac:dyDescent="0.25">
      <c r="A35"/>
      <c r="B35" s="10"/>
      <c r="C35" s="10"/>
    </row>
    <row r="36" spans="1:3" x14ac:dyDescent="0.25">
      <c r="A36"/>
      <c r="B36" s="10"/>
      <c r="C36" s="10"/>
    </row>
    <row r="37" spans="1:3" x14ac:dyDescent="0.25">
      <c r="A37"/>
      <c r="B37" s="10"/>
      <c r="C37" s="10"/>
    </row>
    <row r="38" spans="1:3" x14ac:dyDescent="0.25">
      <c r="A38"/>
      <c r="B38" s="10"/>
      <c r="C38" s="10"/>
    </row>
    <row r="39" spans="1:3" x14ac:dyDescent="0.25">
      <c r="A39"/>
      <c r="B39" s="10"/>
      <c r="C39" s="10"/>
    </row>
    <row r="40" spans="1:3" x14ac:dyDescent="0.25">
      <c r="A40"/>
      <c r="B40" s="10"/>
      <c r="C40" s="10"/>
    </row>
    <row r="41" spans="1:3" x14ac:dyDescent="0.25">
      <c r="A41"/>
      <c r="B41" s="10"/>
      <c r="C41" s="10"/>
    </row>
    <row r="42" spans="1:3" x14ac:dyDescent="0.25">
      <c r="A42"/>
      <c r="B42" s="10"/>
      <c r="C42" s="10"/>
    </row>
    <row r="43" spans="1:3" x14ac:dyDescent="0.25">
      <c r="A43"/>
      <c r="B43" s="10"/>
      <c r="C43" s="10"/>
    </row>
    <row r="44" spans="1:3" x14ac:dyDescent="0.25">
      <c r="A44"/>
      <c r="B44" s="10"/>
      <c r="C44" s="10"/>
    </row>
    <row r="45" spans="1:3" x14ac:dyDescent="0.25">
      <c r="A45"/>
      <c r="B45" s="10"/>
      <c r="C45" s="10"/>
    </row>
    <row r="46" spans="1:3" x14ac:dyDescent="0.25">
      <c r="A46"/>
      <c r="B46" s="10"/>
      <c r="C46" s="10"/>
    </row>
    <row r="47" spans="1:3" x14ac:dyDescent="0.25">
      <c r="A47"/>
      <c r="B47" s="10"/>
      <c r="C47" s="10"/>
    </row>
    <row r="48" spans="1:3" x14ac:dyDescent="0.25">
      <c r="A48"/>
      <c r="B48" s="10"/>
      <c r="C48" s="10"/>
    </row>
    <row r="49" spans="1:3" x14ac:dyDescent="0.25">
      <c r="A49"/>
      <c r="B49" s="10"/>
      <c r="C49" s="10"/>
    </row>
    <row r="50" spans="1:3" x14ac:dyDescent="0.25">
      <c r="A50"/>
      <c r="B50" s="10"/>
      <c r="C50" s="10"/>
    </row>
    <row r="51" spans="1:3" x14ac:dyDescent="0.25">
      <c r="A51"/>
      <c r="B51" s="10"/>
      <c r="C51" s="10"/>
    </row>
    <row r="52" spans="1:3" x14ac:dyDescent="0.25">
      <c r="A52"/>
      <c r="B52" s="10"/>
      <c r="C52" s="10"/>
    </row>
    <row r="53" spans="1:3" x14ac:dyDescent="0.25">
      <c r="A53"/>
      <c r="B53" s="10"/>
      <c r="C53" s="10"/>
    </row>
    <row r="54" spans="1:3" x14ac:dyDescent="0.25">
      <c r="A54"/>
      <c r="B54" s="10"/>
      <c r="C54" s="10"/>
    </row>
    <row r="55" spans="1:3" x14ac:dyDescent="0.25">
      <c r="A55"/>
      <c r="B55" s="10"/>
      <c r="C55" s="10"/>
    </row>
    <row r="56" spans="1:3" x14ac:dyDescent="0.25">
      <c r="A56"/>
      <c r="B56" s="10"/>
      <c r="C56" s="10"/>
    </row>
    <row r="57" spans="1:3" x14ac:dyDescent="0.25">
      <c r="A57"/>
      <c r="B57" s="10"/>
      <c r="C57" s="10"/>
    </row>
    <row r="58" spans="1:3" x14ac:dyDescent="0.25">
      <c r="A58"/>
      <c r="B58" s="10"/>
      <c r="C58" s="10"/>
    </row>
    <row r="59" spans="1:3" x14ac:dyDescent="0.25">
      <c r="A59"/>
      <c r="B59" s="10"/>
      <c r="C59" s="10"/>
    </row>
    <row r="60" spans="1:3" x14ac:dyDescent="0.25">
      <c r="A60"/>
      <c r="B60" s="10"/>
      <c r="C60" s="10"/>
    </row>
    <row r="61" spans="1:3" x14ac:dyDescent="0.25">
      <c r="A61"/>
      <c r="B61" s="10"/>
      <c r="C61" s="10"/>
    </row>
    <row r="62" spans="1:3" x14ac:dyDescent="0.25">
      <c r="A62"/>
      <c r="B62" s="10"/>
      <c r="C62" s="10"/>
    </row>
    <row r="63" spans="1:3" x14ac:dyDescent="0.25">
      <c r="A63"/>
      <c r="B63" s="10"/>
      <c r="C63" s="10"/>
    </row>
    <row r="64" spans="1:3" x14ac:dyDescent="0.25">
      <c r="A64"/>
      <c r="B64" s="10"/>
      <c r="C64" s="10"/>
    </row>
    <row r="65" spans="1:3" x14ac:dyDescent="0.25">
      <c r="A65"/>
      <c r="B65" s="10"/>
      <c r="C65" s="10"/>
    </row>
    <row r="66" spans="1:3" x14ac:dyDescent="0.25">
      <c r="A66"/>
      <c r="B66" s="10"/>
      <c r="C66" s="10"/>
    </row>
    <row r="67" spans="1:3" x14ac:dyDescent="0.25">
      <c r="A67"/>
      <c r="B67" s="10"/>
      <c r="C67" s="10"/>
    </row>
    <row r="68" spans="1:3" x14ac:dyDescent="0.25">
      <c r="A68"/>
      <c r="B68" s="10"/>
      <c r="C68" s="10"/>
    </row>
    <row r="69" spans="1:3" x14ac:dyDescent="0.25">
      <c r="A69"/>
      <c r="B69" s="10"/>
      <c r="C69" s="10"/>
    </row>
    <row r="70" spans="1:3" x14ac:dyDescent="0.25">
      <c r="A70"/>
      <c r="B70" s="10"/>
      <c r="C70" s="10"/>
    </row>
    <row r="71" spans="1:3" x14ac:dyDescent="0.25">
      <c r="A71"/>
      <c r="B71" s="10"/>
      <c r="C71" s="10"/>
    </row>
    <row r="72" spans="1:3" x14ac:dyDescent="0.25">
      <c r="A72"/>
      <c r="B72" s="10"/>
      <c r="C72" s="10"/>
    </row>
    <row r="73" spans="1:3" x14ac:dyDescent="0.25">
      <c r="A73"/>
      <c r="B73" s="10"/>
      <c r="C73" s="10"/>
    </row>
    <row r="74" spans="1:3" x14ac:dyDescent="0.25">
      <c r="A74"/>
      <c r="B74" s="10"/>
      <c r="C74" s="10"/>
    </row>
    <row r="75" spans="1:3" x14ac:dyDescent="0.25">
      <c r="A75"/>
      <c r="B75" s="10"/>
      <c r="C75" s="10"/>
    </row>
    <row r="76" spans="1:3" x14ac:dyDescent="0.25">
      <c r="A76"/>
      <c r="B76" s="10"/>
      <c r="C76" s="10"/>
    </row>
    <row r="77" spans="1:3" x14ac:dyDescent="0.25">
      <c r="A77"/>
      <c r="B77" s="10"/>
      <c r="C77" s="10"/>
    </row>
    <row r="78" spans="1:3" x14ac:dyDescent="0.25">
      <c r="A78"/>
      <c r="B78" s="10"/>
      <c r="C78" s="10"/>
    </row>
    <row r="79" spans="1:3" x14ac:dyDescent="0.25">
      <c r="A79"/>
      <c r="B79" s="10"/>
      <c r="C79" s="10"/>
    </row>
    <row r="80" spans="1:3" x14ac:dyDescent="0.25">
      <c r="A80"/>
      <c r="B80" s="10"/>
      <c r="C80" s="10"/>
    </row>
    <row r="81" spans="1:3" x14ac:dyDescent="0.25">
      <c r="A81"/>
      <c r="B81" s="10"/>
      <c r="C81" s="10"/>
    </row>
    <row r="82" spans="1:3" x14ac:dyDescent="0.25">
      <c r="A82"/>
      <c r="B82" s="10"/>
      <c r="C82" s="10"/>
    </row>
    <row r="83" spans="1:3" x14ac:dyDescent="0.25">
      <c r="A83"/>
      <c r="B83" s="10"/>
      <c r="C83" s="10"/>
    </row>
    <row r="84" spans="1:3" x14ac:dyDescent="0.25">
      <c r="A84"/>
      <c r="B84" s="10"/>
      <c r="C84" s="10"/>
    </row>
    <row r="85" spans="1:3" x14ac:dyDescent="0.25">
      <c r="A85"/>
      <c r="B85" s="10"/>
      <c r="C85" s="10"/>
    </row>
    <row r="86" spans="1:3" x14ac:dyDescent="0.25">
      <c r="A86"/>
      <c r="B86" s="10"/>
      <c r="C86" s="10"/>
    </row>
    <row r="87" spans="1:3" x14ac:dyDescent="0.25">
      <c r="A87"/>
      <c r="B87" s="10"/>
      <c r="C87" s="10"/>
    </row>
    <row r="88" spans="1:3" x14ac:dyDescent="0.25">
      <c r="A88"/>
      <c r="B88" s="10"/>
      <c r="C88" s="10"/>
    </row>
    <row r="89" spans="1:3" x14ac:dyDescent="0.25">
      <c r="A89"/>
      <c r="B89" s="10"/>
      <c r="C89" s="10"/>
    </row>
    <row r="90" spans="1:3" x14ac:dyDescent="0.25">
      <c r="A90"/>
      <c r="B90" s="10"/>
      <c r="C90" s="10"/>
    </row>
    <row r="91" spans="1:3" x14ac:dyDescent="0.25">
      <c r="A91"/>
      <c r="B91" s="10"/>
      <c r="C91" s="10"/>
    </row>
    <row r="92" spans="1:3" x14ac:dyDescent="0.25">
      <c r="A92"/>
      <c r="B92" s="12"/>
      <c r="C92" s="12"/>
    </row>
    <row r="93" spans="1:3" x14ac:dyDescent="0.25">
      <c r="A93"/>
      <c r="B93" s="12"/>
      <c r="C93" s="12"/>
    </row>
    <row r="94" spans="1:3" x14ac:dyDescent="0.25">
      <c r="A94"/>
      <c r="B94" s="12"/>
      <c r="C94" s="12"/>
    </row>
    <row r="95" spans="1:3" x14ac:dyDescent="0.25">
      <c r="A95"/>
      <c r="B95" s="12"/>
      <c r="C95" s="12"/>
    </row>
    <row r="96" spans="1:3" x14ac:dyDescent="0.25">
      <c r="A96"/>
      <c r="B96" s="12"/>
      <c r="C96" s="12"/>
    </row>
    <row r="97" spans="1:3" x14ac:dyDescent="0.25">
      <c r="A97"/>
      <c r="B97" s="12"/>
      <c r="C97" s="12"/>
    </row>
    <row r="98" spans="1:3" x14ac:dyDescent="0.25">
      <c r="A98"/>
      <c r="B98" s="12"/>
      <c r="C98" s="12"/>
    </row>
    <row r="99" spans="1:3" x14ac:dyDescent="0.25">
      <c r="A99"/>
      <c r="B99" s="12"/>
      <c r="C99" s="12"/>
    </row>
    <row r="100" spans="1:3" x14ac:dyDescent="0.25">
      <c r="A100"/>
      <c r="B100" s="12"/>
      <c r="C100" s="12"/>
    </row>
    <row r="101" spans="1:3" x14ac:dyDescent="0.25">
      <c r="A101"/>
      <c r="B101" s="12"/>
      <c r="C101" s="12"/>
    </row>
    <row r="102" spans="1:3" x14ac:dyDescent="0.25">
      <c r="A102"/>
      <c r="B102" s="12"/>
      <c r="C102" s="12"/>
    </row>
    <row r="103" spans="1:3" x14ac:dyDescent="0.25">
      <c r="A103"/>
      <c r="B103" s="12"/>
      <c r="C103" s="12"/>
    </row>
    <row r="104" spans="1:3" x14ac:dyDescent="0.25">
      <c r="A104"/>
      <c r="B104" s="12"/>
      <c r="C104" s="12"/>
    </row>
    <row r="105" spans="1:3" x14ac:dyDescent="0.25">
      <c r="A105"/>
      <c r="B105" s="12"/>
      <c r="C105" s="12"/>
    </row>
    <row r="106" spans="1:3" x14ac:dyDescent="0.25">
      <c r="A106"/>
      <c r="B106" s="12"/>
      <c r="C106" s="12"/>
    </row>
    <row r="107" spans="1:3" x14ac:dyDescent="0.25">
      <c r="A107"/>
      <c r="B107" s="12"/>
      <c r="C107" s="12"/>
    </row>
    <row r="108" spans="1:3" x14ac:dyDescent="0.25">
      <c r="A108"/>
      <c r="B108" s="12"/>
      <c r="C108" s="12"/>
    </row>
    <row r="109" spans="1:3" x14ac:dyDescent="0.25">
      <c r="A109"/>
      <c r="B109" s="12"/>
      <c r="C109" s="12"/>
    </row>
    <row r="110" spans="1:3" x14ac:dyDescent="0.25">
      <c r="A110"/>
      <c r="B110" s="12"/>
      <c r="C110" s="12"/>
    </row>
    <row r="111" spans="1:3" x14ac:dyDescent="0.25">
      <c r="A111"/>
      <c r="B111" s="12"/>
      <c r="C111" s="12"/>
    </row>
    <row r="112" spans="1:3" x14ac:dyDescent="0.25">
      <c r="A112"/>
      <c r="B112" s="12"/>
      <c r="C112" s="12"/>
    </row>
    <row r="113" spans="1:3" x14ac:dyDescent="0.25">
      <c r="A113"/>
      <c r="B113" s="12"/>
      <c r="C113" s="12"/>
    </row>
    <row r="114" spans="1:3" x14ac:dyDescent="0.25">
      <c r="A114"/>
      <c r="B114" s="12"/>
      <c r="C114" s="12"/>
    </row>
    <row r="115" spans="1:3" x14ac:dyDescent="0.25">
      <c r="A115"/>
      <c r="B115" s="12"/>
      <c r="C115" s="12"/>
    </row>
    <row r="116" spans="1:3" x14ac:dyDescent="0.25">
      <c r="A116"/>
      <c r="B116" s="12"/>
      <c r="C116" s="12"/>
    </row>
    <row r="117" spans="1:3" x14ac:dyDescent="0.25">
      <c r="A117"/>
      <c r="B117" s="12"/>
      <c r="C117" s="12"/>
    </row>
    <row r="118" spans="1:3" x14ac:dyDescent="0.25">
      <c r="A118"/>
      <c r="B118" s="12"/>
      <c r="C118" s="12"/>
    </row>
    <row r="119" spans="1:3" x14ac:dyDescent="0.25">
      <c r="A119"/>
      <c r="B119" s="12"/>
      <c r="C119" s="12"/>
    </row>
    <row r="120" spans="1:3" x14ac:dyDescent="0.25">
      <c r="A120"/>
      <c r="B120" s="12"/>
      <c r="C120" s="12"/>
    </row>
    <row r="121" spans="1:3" x14ac:dyDescent="0.25">
      <c r="A121"/>
      <c r="B121" s="12"/>
      <c r="C121" s="12"/>
    </row>
    <row r="122" spans="1:3" x14ac:dyDescent="0.25">
      <c r="A122"/>
      <c r="B122" s="12"/>
      <c r="C122" s="12"/>
    </row>
    <row r="123" spans="1:3" x14ac:dyDescent="0.25">
      <c r="A123"/>
      <c r="B123" s="12"/>
      <c r="C123" s="12"/>
    </row>
    <row r="124" spans="1:3" x14ac:dyDescent="0.25">
      <c r="A124"/>
      <c r="B124" s="12"/>
      <c r="C124" s="12"/>
    </row>
    <row r="125" spans="1:3" x14ac:dyDescent="0.25">
      <c r="A125"/>
      <c r="B125" s="12"/>
      <c r="C125" s="12"/>
    </row>
    <row r="126" spans="1:3" x14ac:dyDescent="0.25">
      <c r="A126"/>
      <c r="B126" s="12"/>
      <c r="C126" s="12"/>
    </row>
    <row r="127" spans="1:3" x14ac:dyDescent="0.25">
      <c r="A127"/>
      <c r="B127" s="12"/>
      <c r="C127" s="12"/>
    </row>
    <row r="128" spans="1:3" x14ac:dyDescent="0.25">
      <c r="A128"/>
      <c r="B128" s="12"/>
      <c r="C128" s="12"/>
    </row>
    <row r="129" spans="1:3" x14ac:dyDescent="0.25">
      <c r="A129"/>
      <c r="B129" s="12"/>
      <c r="C129" s="12"/>
    </row>
    <row r="130" spans="1:3" x14ac:dyDescent="0.25">
      <c r="A130"/>
      <c r="B130" s="12"/>
      <c r="C130" s="12"/>
    </row>
    <row r="131" spans="1:3" x14ac:dyDescent="0.25">
      <c r="A131"/>
      <c r="B131" s="12"/>
      <c r="C131" s="12"/>
    </row>
    <row r="132" spans="1:3" x14ac:dyDescent="0.25">
      <c r="A132"/>
      <c r="B132" s="12"/>
      <c r="C132" s="12"/>
    </row>
    <row r="133" spans="1:3" x14ac:dyDescent="0.25">
      <c r="A133"/>
      <c r="B133" s="12"/>
      <c r="C133" s="12"/>
    </row>
    <row r="134" spans="1:3" x14ac:dyDescent="0.25">
      <c r="A134"/>
      <c r="B134" s="12"/>
      <c r="C134" s="12"/>
    </row>
    <row r="135" spans="1:3" x14ac:dyDescent="0.25">
      <c r="A135"/>
      <c r="B135" s="12"/>
      <c r="C135" s="12"/>
    </row>
    <row r="136" spans="1:3" x14ac:dyDescent="0.25">
      <c r="A136"/>
      <c r="B136" s="12"/>
      <c r="C136" s="12"/>
    </row>
    <row r="137" spans="1:3" x14ac:dyDescent="0.25">
      <c r="A137"/>
      <c r="B137" s="12"/>
      <c r="C137" s="12"/>
    </row>
    <row r="138" spans="1:3" x14ac:dyDescent="0.25">
      <c r="A138"/>
      <c r="B138" s="12"/>
      <c r="C138" s="12"/>
    </row>
    <row r="139" spans="1:3" x14ac:dyDescent="0.25">
      <c r="A139"/>
      <c r="B139" s="12"/>
      <c r="C139" s="12"/>
    </row>
    <row r="140" spans="1:3" x14ac:dyDescent="0.25">
      <c r="A140"/>
      <c r="B140" s="12"/>
      <c r="C140" s="12"/>
    </row>
    <row r="141" spans="1:3" x14ac:dyDescent="0.25">
      <c r="A141"/>
      <c r="B141" s="12"/>
      <c r="C141" s="12"/>
    </row>
    <row r="142" spans="1:3" x14ac:dyDescent="0.25">
      <c r="A142"/>
      <c r="B142" s="12"/>
      <c r="C142" s="12"/>
    </row>
    <row r="143" spans="1:3" x14ac:dyDescent="0.25">
      <c r="A143"/>
      <c r="B143" s="12"/>
      <c r="C143" s="12"/>
    </row>
    <row r="144" spans="1:3" x14ac:dyDescent="0.25">
      <c r="A144"/>
      <c r="B144" s="12"/>
      <c r="C144" s="12"/>
    </row>
    <row r="145" spans="1:3" x14ac:dyDescent="0.25">
      <c r="A145"/>
      <c r="B145" s="12"/>
      <c r="C145" s="12"/>
    </row>
    <row r="146" spans="1:3" x14ac:dyDescent="0.25">
      <c r="A146"/>
      <c r="B146" s="12"/>
      <c r="C146" s="12"/>
    </row>
    <row r="147" spans="1:3" x14ac:dyDescent="0.25">
      <c r="A147"/>
      <c r="B147" s="12"/>
      <c r="C147" s="12"/>
    </row>
    <row r="148" spans="1:3" x14ac:dyDescent="0.25">
      <c r="A148"/>
      <c r="B148" s="12"/>
      <c r="C148" s="12"/>
    </row>
    <row r="149" spans="1:3" x14ac:dyDescent="0.25">
      <c r="A149"/>
      <c r="B149" s="12"/>
      <c r="C149" s="12"/>
    </row>
    <row r="150" spans="1:3" x14ac:dyDescent="0.25">
      <c r="A150"/>
      <c r="B150" s="12"/>
      <c r="C150" s="12"/>
    </row>
    <row r="151" spans="1:3" x14ac:dyDescent="0.25">
      <c r="A151"/>
      <c r="B151" s="12"/>
      <c r="C151" s="12"/>
    </row>
    <row r="152" spans="1:3" x14ac:dyDescent="0.25">
      <c r="A152"/>
      <c r="B152" s="12"/>
      <c r="C152" s="12"/>
    </row>
    <row r="153" spans="1:3" x14ac:dyDescent="0.25">
      <c r="A153"/>
      <c r="B153" s="12"/>
      <c r="C153" s="12"/>
    </row>
    <row r="154" spans="1:3" x14ac:dyDescent="0.25">
      <c r="A154"/>
      <c r="B154" s="12"/>
      <c r="C154" s="12"/>
    </row>
    <row r="155" spans="1:3" x14ac:dyDescent="0.25">
      <c r="A155"/>
      <c r="B155" s="12"/>
      <c r="C155" s="12"/>
    </row>
    <row r="156" spans="1:3" x14ac:dyDescent="0.25">
      <c r="A156"/>
      <c r="B156" s="12"/>
      <c r="C156" s="12"/>
    </row>
    <row r="157" spans="1:3" x14ac:dyDescent="0.25">
      <c r="A157"/>
      <c r="B157" s="12"/>
      <c r="C157" s="12"/>
    </row>
    <row r="158" spans="1:3" x14ac:dyDescent="0.25">
      <c r="A158"/>
      <c r="B158" s="12"/>
      <c r="C158" s="12"/>
    </row>
    <row r="159" spans="1:3" x14ac:dyDescent="0.25">
      <c r="A159"/>
      <c r="B159" s="12"/>
      <c r="C159" s="12"/>
    </row>
    <row r="160" spans="1:3" x14ac:dyDescent="0.25">
      <c r="A160"/>
      <c r="B160" s="12"/>
      <c r="C160" s="12"/>
    </row>
    <row r="161" spans="1:3" x14ac:dyDescent="0.25">
      <c r="A161"/>
      <c r="B161" s="12"/>
      <c r="C161" s="12"/>
    </row>
    <row r="162" spans="1:3" x14ac:dyDescent="0.25">
      <c r="A162"/>
      <c r="B162" s="12"/>
      <c r="C162" s="12"/>
    </row>
    <row r="163" spans="1:3" x14ac:dyDescent="0.25">
      <c r="A163"/>
      <c r="B163" s="12"/>
      <c r="C163" s="12"/>
    </row>
    <row r="164" spans="1:3" x14ac:dyDescent="0.25">
      <c r="A164"/>
      <c r="B164" s="12"/>
      <c r="C164" s="12"/>
    </row>
    <row r="165" spans="1:3" x14ac:dyDescent="0.25">
      <c r="A165"/>
      <c r="B165" s="12"/>
      <c r="C165" s="12"/>
    </row>
    <row r="166" spans="1:3" x14ac:dyDescent="0.25">
      <c r="A166"/>
      <c r="B166" s="12"/>
      <c r="C166" s="12"/>
    </row>
    <row r="167" spans="1:3" x14ac:dyDescent="0.25">
      <c r="A167"/>
      <c r="B167" s="12"/>
      <c r="C167" s="12"/>
    </row>
    <row r="168" spans="1:3" x14ac:dyDescent="0.25">
      <c r="A168"/>
      <c r="B168" s="12"/>
      <c r="C168" s="12"/>
    </row>
    <row r="169" spans="1:3" x14ac:dyDescent="0.25">
      <c r="A169"/>
      <c r="B169" s="12"/>
      <c r="C169" s="12"/>
    </row>
    <row r="170" spans="1:3" x14ac:dyDescent="0.25">
      <c r="A170"/>
      <c r="B170" s="12"/>
      <c r="C170" s="12"/>
    </row>
    <row r="171" spans="1:3" x14ac:dyDescent="0.25">
      <c r="A171"/>
      <c r="B171" s="12"/>
      <c r="C171" s="12"/>
    </row>
    <row r="172" spans="1:3" x14ac:dyDescent="0.25">
      <c r="A172"/>
      <c r="B172" s="12"/>
      <c r="C172" s="12"/>
    </row>
    <row r="173" spans="1:3" x14ac:dyDescent="0.25">
      <c r="A173"/>
      <c r="B173" s="12"/>
      <c r="C173" s="12"/>
    </row>
    <row r="174" spans="1:3" x14ac:dyDescent="0.25">
      <c r="A174"/>
      <c r="B174" s="12"/>
      <c r="C174" s="12"/>
    </row>
    <row r="175" spans="1:3" x14ac:dyDescent="0.25">
      <c r="A175"/>
      <c r="B175" s="12"/>
      <c r="C175" s="12"/>
    </row>
    <row r="176" spans="1:3" x14ac:dyDescent="0.25">
      <c r="A176"/>
      <c r="B176" s="12"/>
      <c r="C176" s="12"/>
    </row>
    <row r="177" spans="1:7" x14ac:dyDescent="0.25">
      <c r="A177"/>
      <c r="B177" s="12"/>
      <c r="C177" s="12"/>
    </row>
    <row r="178" spans="1:7" x14ac:dyDescent="0.25">
      <c r="A178"/>
      <c r="B178" s="12"/>
      <c r="C178" s="12"/>
    </row>
    <row r="179" spans="1:7" x14ac:dyDescent="0.25">
      <c r="A179"/>
      <c r="B179" s="12"/>
      <c r="C179" s="12"/>
    </row>
    <row r="180" spans="1:7" x14ac:dyDescent="0.25">
      <c r="A180"/>
      <c r="B180" s="12"/>
      <c r="C180" s="12"/>
    </row>
    <row r="181" spans="1:7" x14ac:dyDescent="0.25">
      <c r="A181"/>
      <c r="B181" s="12"/>
      <c r="C181" s="12"/>
    </row>
    <row r="182" spans="1:7" x14ac:dyDescent="0.25">
      <c r="A182"/>
      <c r="B182" s="13"/>
      <c r="C182" s="13"/>
    </row>
    <row r="183" spans="1:7" x14ac:dyDescent="0.25">
      <c r="A183"/>
      <c r="B183" s="13"/>
      <c r="C183" s="13"/>
    </row>
    <row r="184" spans="1:7" x14ac:dyDescent="0.25">
      <c r="A184"/>
      <c r="B184" s="13"/>
      <c r="C184" s="13"/>
    </row>
    <row r="185" spans="1:7" x14ac:dyDescent="0.25">
      <c r="A185"/>
      <c r="B185" s="13"/>
      <c r="C185" s="13"/>
    </row>
    <row r="186" spans="1:7" x14ac:dyDescent="0.25">
      <c r="A186"/>
    </row>
    <row r="187" spans="1:7" x14ac:dyDescent="0.25">
      <c r="A187"/>
    </row>
    <row r="188" spans="1:7" x14ac:dyDescent="0.25">
      <c r="A188"/>
    </row>
    <row r="189" spans="1:7" x14ac:dyDescent="0.25">
      <c r="A189"/>
    </row>
    <row r="190" spans="1:7" s="6" customFormat="1" x14ac:dyDescent="0.25">
      <c r="A190"/>
      <c r="D190" s="10"/>
      <c r="E190" s="10"/>
      <c r="F190" s="15"/>
      <c r="G190" s="15"/>
    </row>
    <row r="191" spans="1:7" s="6" customFormat="1" x14ac:dyDescent="0.25">
      <c r="A191"/>
      <c r="E191" s="10"/>
      <c r="F191" s="15"/>
      <c r="G191" s="15"/>
    </row>
    <row r="192" spans="1:7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</sheetData>
  <phoneticPr fontId="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C4B4-B849-4E67-9689-F186AD202D6C}">
  <dimension ref="A1:G208"/>
  <sheetViews>
    <sheetView topLeftCell="A180" workbookViewId="0">
      <selection activeCell="H200" sqref="H200"/>
    </sheetView>
  </sheetViews>
  <sheetFormatPr defaultRowHeight="15" x14ac:dyDescent="0.25"/>
  <cols>
    <col min="1" max="1" width="19" customWidth="1"/>
    <col min="2" max="2" width="16.7109375" customWidth="1"/>
    <col min="3" max="3" width="20.140625" bestFit="1" customWidth="1"/>
    <col min="4" max="4" width="16.7109375" customWidth="1"/>
    <col min="5" max="5" width="20.140625" bestFit="1" customWidth="1"/>
    <col min="6" max="6" width="12.85546875" customWidth="1"/>
    <col min="7" max="7" width="23.85546875" bestFit="1" customWidth="1"/>
  </cols>
  <sheetData>
    <row r="1" spans="1:7" x14ac:dyDescent="0.25">
      <c r="A1" s="1" t="s">
        <v>9</v>
      </c>
      <c r="B1" s="1" t="s">
        <v>282</v>
      </c>
      <c r="C1" s="1" t="s">
        <v>283</v>
      </c>
      <c r="D1" s="1" t="s">
        <v>284</v>
      </c>
      <c r="E1" s="1" t="s">
        <v>285</v>
      </c>
      <c r="F1" s="16" t="s">
        <v>286</v>
      </c>
      <c r="G1" s="16" t="s">
        <v>287</v>
      </c>
    </row>
    <row r="2" spans="1:7" x14ac:dyDescent="0.25">
      <c r="A2" t="s">
        <v>288</v>
      </c>
      <c r="B2" t="s">
        <v>156</v>
      </c>
      <c r="C2" t="s">
        <v>16</v>
      </c>
      <c r="D2" t="s">
        <v>248</v>
      </c>
      <c r="E2" t="s">
        <v>289</v>
      </c>
      <c r="F2" t="s">
        <v>292</v>
      </c>
    </row>
    <row r="3" spans="1:7" x14ac:dyDescent="0.25">
      <c r="A3" t="s">
        <v>288</v>
      </c>
      <c r="B3" t="s">
        <v>157</v>
      </c>
      <c r="C3" t="s">
        <v>18</v>
      </c>
      <c r="D3" t="s">
        <v>248</v>
      </c>
      <c r="E3" t="s">
        <v>289</v>
      </c>
      <c r="F3" t="s">
        <v>292</v>
      </c>
    </row>
    <row r="4" spans="1:7" x14ac:dyDescent="0.25">
      <c r="A4" t="s">
        <v>288</v>
      </c>
      <c r="B4" t="s">
        <v>158</v>
      </c>
      <c r="C4" t="s">
        <v>19</v>
      </c>
      <c r="D4" t="s">
        <v>248</v>
      </c>
      <c r="E4" t="s">
        <v>289</v>
      </c>
      <c r="F4" t="s">
        <v>292</v>
      </c>
    </row>
    <row r="5" spans="1:7" x14ac:dyDescent="0.25">
      <c r="A5" t="s">
        <v>288</v>
      </c>
      <c r="B5" t="s">
        <v>159</v>
      </c>
      <c r="C5" t="s">
        <v>20</v>
      </c>
      <c r="D5" t="s">
        <v>248</v>
      </c>
      <c r="E5" t="s">
        <v>289</v>
      </c>
      <c r="F5" t="s">
        <v>292</v>
      </c>
    </row>
    <row r="6" spans="1:7" x14ac:dyDescent="0.25">
      <c r="A6" t="s">
        <v>288</v>
      </c>
      <c r="B6" t="s">
        <v>160</v>
      </c>
      <c r="C6" t="s">
        <v>21</v>
      </c>
      <c r="D6" t="s">
        <v>248</v>
      </c>
      <c r="E6" t="s">
        <v>289</v>
      </c>
      <c r="F6" t="s">
        <v>292</v>
      </c>
    </row>
    <row r="7" spans="1:7" x14ac:dyDescent="0.25">
      <c r="A7" t="s">
        <v>288</v>
      </c>
      <c r="B7" t="s">
        <v>161</v>
      </c>
      <c r="C7" t="s">
        <v>22</v>
      </c>
      <c r="D7" t="s">
        <v>248</v>
      </c>
      <c r="E7" t="s">
        <v>289</v>
      </c>
      <c r="F7" t="s">
        <v>292</v>
      </c>
    </row>
    <row r="8" spans="1:7" x14ac:dyDescent="0.25">
      <c r="A8" t="s">
        <v>288</v>
      </c>
      <c r="B8" t="s">
        <v>162</v>
      </c>
      <c r="C8" t="s">
        <v>23</v>
      </c>
      <c r="D8" t="s">
        <v>248</v>
      </c>
      <c r="E8" t="s">
        <v>289</v>
      </c>
      <c r="F8" t="s">
        <v>292</v>
      </c>
    </row>
    <row r="9" spans="1:7" x14ac:dyDescent="0.25">
      <c r="A9" t="s">
        <v>288</v>
      </c>
      <c r="B9" t="s">
        <v>163</v>
      </c>
      <c r="C9" t="s">
        <v>24</v>
      </c>
      <c r="D9" t="s">
        <v>248</v>
      </c>
      <c r="E9" t="s">
        <v>289</v>
      </c>
      <c r="F9" t="s">
        <v>292</v>
      </c>
    </row>
    <row r="10" spans="1:7" x14ac:dyDescent="0.25">
      <c r="A10" t="s">
        <v>288</v>
      </c>
      <c r="B10" t="s">
        <v>164</v>
      </c>
      <c r="C10" t="s">
        <v>25</v>
      </c>
      <c r="D10" t="s">
        <v>248</v>
      </c>
      <c r="E10" t="s">
        <v>289</v>
      </c>
      <c r="F10" t="s">
        <v>292</v>
      </c>
    </row>
    <row r="11" spans="1:7" x14ac:dyDescent="0.25">
      <c r="A11" t="s">
        <v>288</v>
      </c>
      <c r="B11" t="s">
        <v>165</v>
      </c>
      <c r="C11" t="s">
        <v>26</v>
      </c>
      <c r="D11" t="s">
        <v>248</v>
      </c>
      <c r="E11" t="s">
        <v>289</v>
      </c>
      <c r="F11" t="s">
        <v>292</v>
      </c>
    </row>
    <row r="12" spans="1:7" x14ac:dyDescent="0.25">
      <c r="A12" t="s">
        <v>288</v>
      </c>
      <c r="B12" t="s">
        <v>166</v>
      </c>
      <c r="C12" t="s">
        <v>27</v>
      </c>
      <c r="D12" t="s">
        <v>248</v>
      </c>
      <c r="E12" t="s">
        <v>289</v>
      </c>
      <c r="F12" t="s">
        <v>292</v>
      </c>
    </row>
    <row r="13" spans="1:7" x14ac:dyDescent="0.25">
      <c r="A13" t="s">
        <v>288</v>
      </c>
      <c r="B13" t="s">
        <v>167</v>
      </c>
      <c r="C13" t="s">
        <v>28</v>
      </c>
      <c r="D13" t="s">
        <v>248</v>
      </c>
      <c r="E13" t="s">
        <v>289</v>
      </c>
      <c r="F13" t="s">
        <v>292</v>
      </c>
    </row>
    <row r="14" spans="1:7" x14ac:dyDescent="0.25">
      <c r="A14" t="s">
        <v>288</v>
      </c>
      <c r="B14" t="s">
        <v>168</v>
      </c>
      <c r="C14" t="s">
        <v>29</v>
      </c>
      <c r="D14" t="s">
        <v>248</v>
      </c>
      <c r="E14" t="s">
        <v>289</v>
      </c>
      <c r="F14" t="s">
        <v>292</v>
      </c>
    </row>
    <row r="15" spans="1:7" x14ac:dyDescent="0.25">
      <c r="A15" t="s">
        <v>288</v>
      </c>
      <c r="B15" t="s">
        <v>169</v>
      </c>
      <c r="C15" t="s">
        <v>30</v>
      </c>
      <c r="D15" t="s">
        <v>248</v>
      </c>
      <c r="E15" t="s">
        <v>289</v>
      </c>
      <c r="F15" t="s">
        <v>292</v>
      </c>
    </row>
    <row r="16" spans="1:7" x14ac:dyDescent="0.25">
      <c r="A16" t="s">
        <v>288</v>
      </c>
      <c r="B16" t="s">
        <v>170</v>
      </c>
      <c r="C16" t="s">
        <v>31</v>
      </c>
      <c r="D16" t="s">
        <v>248</v>
      </c>
      <c r="E16" t="s">
        <v>289</v>
      </c>
      <c r="F16" t="s">
        <v>292</v>
      </c>
    </row>
    <row r="17" spans="1:6" x14ac:dyDescent="0.25">
      <c r="A17" t="s">
        <v>288</v>
      </c>
      <c r="B17" t="s">
        <v>171</v>
      </c>
      <c r="C17" t="s">
        <v>32</v>
      </c>
      <c r="D17" t="s">
        <v>248</v>
      </c>
      <c r="E17" t="s">
        <v>289</v>
      </c>
      <c r="F17" t="s">
        <v>292</v>
      </c>
    </row>
    <row r="18" spans="1:6" x14ac:dyDescent="0.25">
      <c r="A18" t="s">
        <v>288</v>
      </c>
      <c r="B18" t="s">
        <v>172</v>
      </c>
      <c r="C18" t="s">
        <v>33</v>
      </c>
      <c r="D18" t="s">
        <v>248</v>
      </c>
      <c r="E18" t="s">
        <v>289</v>
      </c>
      <c r="F18" t="s">
        <v>292</v>
      </c>
    </row>
    <row r="19" spans="1:6" x14ac:dyDescent="0.25">
      <c r="A19" t="s">
        <v>288</v>
      </c>
      <c r="B19" t="s">
        <v>173</v>
      </c>
      <c r="C19" t="s">
        <v>34</v>
      </c>
      <c r="D19" t="s">
        <v>248</v>
      </c>
      <c r="E19" t="s">
        <v>289</v>
      </c>
      <c r="F19" t="s">
        <v>292</v>
      </c>
    </row>
    <row r="20" spans="1:6" x14ac:dyDescent="0.25">
      <c r="A20" t="s">
        <v>288</v>
      </c>
      <c r="B20" t="s">
        <v>174</v>
      </c>
      <c r="C20" t="s">
        <v>35</v>
      </c>
      <c r="D20" t="s">
        <v>248</v>
      </c>
      <c r="E20" t="s">
        <v>289</v>
      </c>
      <c r="F20" t="s">
        <v>292</v>
      </c>
    </row>
    <row r="21" spans="1:6" x14ac:dyDescent="0.25">
      <c r="A21" t="s">
        <v>288</v>
      </c>
      <c r="B21" t="s">
        <v>175</v>
      </c>
      <c r="C21" t="s">
        <v>36</v>
      </c>
      <c r="D21" t="s">
        <v>248</v>
      </c>
      <c r="E21" t="s">
        <v>289</v>
      </c>
      <c r="F21" t="s">
        <v>292</v>
      </c>
    </row>
    <row r="22" spans="1:6" x14ac:dyDescent="0.25">
      <c r="A22" t="s">
        <v>288</v>
      </c>
      <c r="B22" t="s">
        <v>176</v>
      </c>
      <c r="C22" t="s">
        <v>37</v>
      </c>
      <c r="D22" t="s">
        <v>248</v>
      </c>
      <c r="E22" t="s">
        <v>289</v>
      </c>
      <c r="F22" t="s">
        <v>292</v>
      </c>
    </row>
    <row r="23" spans="1:6" x14ac:dyDescent="0.25">
      <c r="A23" t="s">
        <v>288</v>
      </c>
      <c r="B23" t="s">
        <v>177</v>
      </c>
      <c r="C23" t="s">
        <v>38</v>
      </c>
      <c r="D23" t="s">
        <v>248</v>
      </c>
      <c r="E23" t="s">
        <v>289</v>
      </c>
      <c r="F23" t="s">
        <v>292</v>
      </c>
    </row>
    <row r="24" spans="1:6" x14ac:dyDescent="0.25">
      <c r="A24" t="s">
        <v>288</v>
      </c>
      <c r="B24" t="s">
        <v>178</v>
      </c>
      <c r="C24" t="s">
        <v>39</v>
      </c>
      <c r="D24" t="s">
        <v>248</v>
      </c>
      <c r="E24" t="s">
        <v>289</v>
      </c>
      <c r="F24" t="s">
        <v>292</v>
      </c>
    </row>
    <row r="25" spans="1:6" x14ac:dyDescent="0.25">
      <c r="A25" t="s">
        <v>288</v>
      </c>
      <c r="B25" t="s">
        <v>179</v>
      </c>
      <c r="C25" t="s">
        <v>40</v>
      </c>
      <c r="D25" t="s">
        <v>248</v>
      </c>
      <c r="E25" t="s">
        <v>289</v>
      </c>
      <c r="F25" t="s">
        <v>292</v>
      </c>
    </row>
    <row r="26" spans="1:6" x14ac:dyDescent="0.25">
      <c r="A26" t="s">
        <v>288</v>
      </c>
      <c r="B26" t="s">
        <v>180</v>
      </c>
      <c r="C26" t="s">
        <v>41</v>
      </c>
      <c r="D26" t="s">
        <v>248</v>
      </c>
      <c r="E26" t="s">
        <v>289</v>
      </c>
      <c r="F26" t="s">
        <v>292</v>
      </c>
    </row>
    <row r="27" spans="1:6" x14ac:dyDescent="0.25">
      <c r="A27" t="s">
        <v>288</v>
      </c>
      <c r="B27" t="s">
        <v>181</v>
      </c>
      <c r="C27" t="s">
        <v>42</v>
      </c>
      <c r="D27" t="s">
        <v>248</v>
      </c>
      <c r="E27" t="s">
        <v>289</v>
      </c>
      <c r="F27" t="s">
        <v>292</v>
      </c>
    </row>
    <row r="28" spans="1:6" x14ac:dyDescent="0.25">
      <c r="A28" t="s">
        <v>288</v>
      </c>
      <c r="B28" t="s">
        <v>182</v>
      </c>
      <c r="C28" t="s">
        <v>43</v>
      </c>
      <c r="D28" t="s">
        <v>248</v>
      </c>
      <c r="E28" t="s">
        <v>289</v>
      </c>
      <c r="F28" t="s">
        <v>292</v>
      </c>
    </row>
    <row r="29" spans="1:6" x14ac:dyDescent="0.25">
      <c r="A29" t="s">
        <v>288</v>
      </c>
      <c r="B29" t="s">
        <v>183</v>
      </c>
      <c r="C29" t="s">
        <v>44</v>
      </c>
      <c r="D29" t="s">
        <v>248</v>
      </c>
      <c r="E29" t="s">
        <v>289</v>
      </c>
      <c r="F29" t="s">
        <v>292</v>
      </c>
    </row>
    <row r="30" spans="1:6" x14ac:dyDescent="0.25">
      <c r="A30" t="s">
        <v>288</v>
      </c>
      <c r="B30" t="s">
        <v>184</v>
      </c>
      <c r="C30" t="s">
        <v>45</v>
      </c>
      <c r="D30" t="s">
        <v>248</v>
      </c>
      <c r="E30" t="s">
        <v>289</v>
      </c>
      <c r="F30" t="s">
        <v>292</v>
      </c>
    </row>
    <row r="31" spans="1:6" x14ac:dyDescent="0.25">
      <c r="A31" t="s">
        <v>288</v>
      </c>
      <c r="B31" t="s">
        <v>185</v>
      </c>
      <c r="C31" t="s">
        <v>46</v>
      </c>
      <c r="D31" t="s">
        <v>248</v>
      </c>
      <c r="E31" t="s">
        <v>289</v>
      </c>
      <c r="F31" t="s">
        <v>292</v>
      </c>
    </row>
    <row r="32" spans="1:6" x14ac:dyDescent="0.25">
      <c r="A32" t="s">
        <v>288</v>
      </c>
      <c r="B32" t="s">
        <v>186</v>
      </c>
      <c r="C32" t="s">
        <v>47</v>
      </c>
      <c r="D32" t="s">
        <v>248</v>
      </c>
      <c r="E32" t="s">
        <v>289</v>
      </c>
      <c r="F32" t="s">
        <v>292</v>
      </c>
    </row>
    <row r="33" spans="1:6" x14ac:dyDescent="0.25">
      <c r="A33" t="s">
        <v>288</v>
      </c>
      <c r="B33" t="s">
        <v>187</v>
      </c>
      <c r="C33" t="s">
        <v>48</v>
      </c>
      <c r="D33" t="s">
        <v>248</v>
      </c>
      <c r="E33" t="s">
        <v>289</v>
      </c>
      <c r="F33" t="s">
        <v>292</v>
      </c>
    </row>
    <row r="34" spans="1:6" x14ac:dyDescent="0.25">
      <c r="A34" t="s">
        <v>288</v>
      </c>
      <c r="B34" t="s">
        <v>188</v>
      </c>
      <c r="C34" t="s">
        <v>49</v>
      </c>
      <c r="D34" t="s">
        <v>248</v>
      </c>
      <c r="E34" t="s">
        <v>289</v>
      </c>
      <c r="F34" t="s">
        <v>292</v>
      </c>
    </row>
    <row r="35" spans="1:6" x14ac:dyDescent="0.25">
      <c r="A35" t="s">
        <v>288</v>
      </c>
      <c r="B35" t="s">
        <v>189</v>
      </c>
      <c r="C35" t="s">
        <v>50</v>
      </c>
      <c r="D35" t="s">
        <v>248</v>
      </c>
      <c r="E35" t="s">
        <v>289</v>
      </c>
      <c r="F35" t="s">
        <v>292</v>
      </c>
    </row>
    <row r="36" spans="1:6" x14ac:dyDescent="0.25">
      <c r="A36" t="s">
        <v>288</v>
      </c>
      <c r="B36" t="s">
        <v>190</v>
      </c>
      <c r="C36" t="s">
        <v>51</v>
      </c>
      <c r="D36" t="s">
        <v>248</v>
      </c>
      <c r="E36" t="s">
        <v>289</v>
      </c>
      <c r="F36" t="s">
        <v>292</v>
      </c>
    </row>
    <row r="37" spans="1:6" x14ac:dyDescent="0.25">
      <c r="A37" t="s">
        <v>288</v>
      </c>
      <c r="B37" t="s">
        <v>191</v>
      </c>
      <c r="C37" t="s">
        <v>52</v>
      </c>
      <c r="D37" t="s">
        <v>248</v>
      </c>
      <c r="E37" t="s">
        <v>289</v>
      </c>
      <c r="F37" t="s">
        <v>292</v>
      </c>
    </row>
    <row r="38" spans="1:6" x14ac:dyDescent="0.25">
      <c r="A38" t="s">
        <v>288</v>
      </c>
      <c r="B38" t="s">
        <v>192</v>
      </c>
      <c r="C38" t="s">
        <v>53</v>
      </c>
      <c r="D38" t="s">
        <v>248</v>
      </c>
      <c r="E38" t="s">
        <v>289</v>
      </c>
      <c r="F38" t="s">
        <v>292</v>
      </c>
    </row>
    <row r="39" spans="1:6" x14ac:dyDescent="0.25">
      <c r="A39" t="s">
        <v>288</v>
      </c>
      <c r="B39" t="s">
        <v>193</v>
      </c>
      <c r="C39" t="s">
        <v>54</v>
      </c>
      <c r="D39" t="s">
        <v>248</v>
      </c>
      <c r="E39" t="s">
        <v>289</v>
      </c>
      <c r="F39" t="s">
        <v>292</v>
      </c>
    </row>
    <row r="40" spans="1:6" x14ac:dyDescent="0.25">
      <c r="A40" t="s">
        <v>288</v>
      </c>
      <c r="B40" t="s">
        <v>194</v>
      </c>
      <c r="C40" t="s">
        <v>55</v>
      </c>
      <c r="D40" t="s">
        <v>248</v>
      </c>
      <c r="E40" t="s">
        <v>289</v>
      </c>
      <c r="F40" t="s">
        <v>292</v>
      </c>
    </row>
    <row r="41" spans="1:6" x14ac:dyDescent="0.25">
      <c r="A41" t="s">
        <v>288</v>
      </c>
      <c r="B41" t="s">
        <v>195</v>
      </c>
      <c r="C41" t="s">
        <v>56</v>
      </c>
      <c r="D41" t="s">
        <v>248</v>
      </c>
      <c r="E41" t="s">
        <v>289</v>
      </c>
      <c r="F41" t="s">
        <v>292</v>
      </c>
    </row>
    <row r="42" spans="1:6" x14ac:dyDescent="0.25">
      <c r="A42" t="s">
        <v>288</v>
      </c>
      <c r="B42" t="s">
        <v>196</v>
      </c>
      <c r="C42" t="s">
        <v>57</v>
      </c>
      <c r="D42" t="s">
        <v>248</v>
      </c>
      <c r="E42" t="s">
        <v>289</v>
      </c>
      <c r="F42" t="s">
        <v>292</v>
      </c>
    </row>
    <row r="43" spans="1:6" x14ac:dyDescent="0.25">
      <c r="A43" t="s">
        <v>288</v>
      </c>
      <c r="B43" t="s">
        <v>197</v>
      </c>
      <c r="C43" t="s">
        <v>58</v>
      </c>
      <c r="D43" t="s">
        <v>248</v>
      </c>
      <c r="E43" t="s">
        <v>289</v>
      </c>
      <c r="F43" t="s">
        <v>292</v>
      </c>
    </row>
    <row r="44" spans="1:6" x14ac:dyDescent="0.25">
      <c r="A44" t="s">
        <v>288</v>
      </c>
      <c r="B44" t="s">
        <v>198</v>
      </c>
      <c r="C44" t="s">
        <v>59</v>
      </c>
      <c r="D44" t="s">
        <v>248</v>
      </c>
      <c r="E44" t="s">
        <v>289</v>
      </c>
      <c r="F44" t="s">
        <v>292</v>
      </c>
    </row>
    <row r="45" spans="1:6" x14ac:dyDescent="0.25">
      <c r="A45" t="s">
        <v>288</v>
      </c>
      <c r="B45" t="s">
        <v>199</v>
      </c>
      <c r="C45" t="s">
        <v>60</v>
      </c>
      <c r="D45" t="s">
        <v>248</v>
      </c>
      <c r="E45" t="s">
        <v>289</v>
      </c>
      <c r="F45" t="s">
        <v>292</v>
      </c>
    </row>
    <row r="46" spans="1:6" x14ac:dyDescent="0.25">
      <c r="A46" t="s">
        <v>288</v>
      </c>
      <c r="B46" t="s">
        <v>200</v>
      </c>
      <c r="C46" t="s">
        <v>61</v>
      </c>
      <c r="D46" t="s">
        <v>248</v>
      </c>
      <c r="E46" t="s">
        <v>289</v>
      </c>
      <c r="F46" t="s">
        <v>292</v>
      </c>
    </row>
    <row r="47" spans="1:6" x14ac:dyDescent="0.25">
      <c r="A47" t="s">
        <v>288</v>
      </c>
      <c r="B47" t="s">
        <v>201</v>
      </c>
      <c r="C47" t="s">
        <v>62</v>
      </c>
      <c r="D47" t="s">
        <v>248</v>
      </c>
      <c r="E47" t="s">
        <v>289</v>
      </c>
      <c r="F47" t="s">
        <v>292</v>
      </c>
    </row>
    <row r="48" spans="1:6" x14ac:dyDescent="0.25">
      <c r="A48" t="s">
        <v>288</v>
      </c>
      <c r="B48" t="s">
        <v>202</v>
      </c>
      <c r="C48" t="s">
        <v>63</v>
      </c>
      <c r="D48" t="s">
        <v>248</v>
      </c>
      <c r="E48" t="s">
        <v>289</v>
      </c>
      <c r="F48" t="s">
        <v>292</v>
      </c>
    </row>
    <row r="49" spans="1:6" x14ac:dyDescent="0.25">
      <c r="A49" t="s">
        <v>288</v>
      </c>
      <c r="B49" t="s">
        <v>203</v>
      </c>
      <c r="C49" t="s">
        <v>64</v>
      </c>
      <c r="D49" t="s">
        <v>248</v>
      </c>
      <c r="E49" t="s">
        <v>289</v>
      </c>
      <c r="F49" t="s">
        <v>292</v>
      </c>
    </row>
    <row r="50" spans="1:6" x14ac:dyDescent="0.25">
      <c r="A50" t="s">
        <v>288</v>
      </c>
      <c r="B50" t="s">
        <v>204</v>
      </c>
      <c r="C50" t="s">
        <v>65</v>
      </c>
      <c r="D50" t="s">
        <v>248</v>
      </c>
      <c r="E50" t="s">
        <v>289</v>
      </c>
      <c r="F50" t="s">
        <v>292</v>
      </c>
    </row>
    <row r="51" spans="1:6" x14ac:dyDescent="0.25">
      <c r="A51" t="s">
        <v>288</v>
      </c>
      <c r="B51" t="s">
        <v>205</v>
      </c>
      <c r="C51" t="s">
        <v>66</v>
      </c>
      <c r="D51" t="s">
        <v>248</v>
      </c>
      <c r="E51" t="s">
        <v>289</v>
      </c>
      <c r="F51" t="s">
        <v>292</v>
      </c>
    </row>
    <row r="52" spans="1:6" x14ac:dyDescent="0.25">
      <c r="A52" t="s">
        <v>288</v>
      </c>
      <c r="B52" t="s">
        <v>206</v>
      </c>
      <c r="C52" t="s">
        <v>67</v>
      </c>
      <c r="D52" t="s">
        <v>248</v>
      </c>
      <c r="E52" t="s">
        <v>289</v>
      </c>
      <c r="F52" t="s">
        <v>292</v>
      </c>
    </row>
    <row r="53" spans="1:6" x14ac:dyDescent="0.25">
      <c r="A53" t="s">
        <v>288</v>
      </c>
      <c r="B53" t="s">
        <v>207</v>
      </c>
      <c r="C53" t="s">
        <v>68</v>
      </c>
      <c r="D53" t="s">
        <v>248</v>
      </c>
      <c r="E53" t="s">
        <v>289</v>
      </c>
      <c r="F53" t="s">
        <v>292</v>
      </c>
    </row>
    <row r="54" spans="1:6" x14ac:dyDescent="0.25">
      <c r="A54" t="s">
        <v>288</v>
      </c>
      <c r="B54" t="s">
        <v>208</v>
      </c>
      <c r="C54" t="s">
        <v>69</v>
      </c>
      <c r="D54" t="s">
        <v>248</v>
      </c>
      <c r="E54" t="s">
        <v>289</v>
      </c>
      <c r="F54" t="s">
        <v>292</v>
      </c>
    </row>
    <row r="55" spans="1:6" x14ac:dyDescent="0.25">
      <c r="A55" t="s">
        <v>288</v>
      </c>
      <c r="B55" t="s">
        <v>209</v>
      </c>
      <c r="C55" t="s">
        <v>70</v>
      </c>
      <c r="D55" t="s">
        <v>248</v>
      </c>
      <c r="E55" t="s">
        <v>289</v>
      </c>
      <c r="F55" t="s">
        <v>292</v>
      </c>
    </row>
    <row r="56" spans="1:6" x14ac:dyDescent="0.25">
      <c r="A56" t="s">
        <v>288</v>
      </c>
      <c r="B56" t="s">
        <v>210</v>
      </c>
      <c r="C56" t="s">
        <v>71</v>
      </c>
      <c r="D56" t="s">
        <v>248</v>
      </c>
      <c r="E56" t="s">
        <v>289</v>
      </c>
      <c r="F56" t="s">
        <v>292</v>
      </c>
    </row>
    <row r="57" spans="1:6" x14ac:dyDescent="0.25">
      <c r="A57" t="s">
        <v>288</v>
      </c>
      <c r="B57" t="s">
        <v>211</v>
      </c>
      <c r="C57" t="s">
        <v>72</v>
      </c>
      <c r="D57" t="s">
        <v>248</v>
      </c>
      <c r="E57" t="s">
        <v>289</v>
      </c>
      <c r="F57" t="s">
        <v>292</v>
      </c>
    </row>
    <row r="58" spans="1:6" x14ac:dyDescent="0.25">
      <c r="A58" t="s">
        <v>288</v>
      </c>
      <c r="B58" t="s">
        <v>212</v>
      </c>
      <c r="C58" t="s">
        <v>73</v>
      </c>
      <c r="D58" t="s">
        <v>248</v>
      </c>
      <c r="E58" t="s">
        <v>289</v>
      </c>
      <c r="F58" t="s">
        <v>292</v>
      </c>
    </row>
    <row r="59" spans="1:6" x14ac:dyDescent="0.25">
      <c r="A59" t="s">
        <v>288</v>
      </c>
      <c r="B59" t="s">
        <v>213</v>
      </c>
      <c r="C59" t="s">
        <v>74</v>
      </c>
      <c r="D59" t="s">
        <v>248</v>
      </c>
      <c r="E59" t="s">
        <v>289</v>
      </c>
      <c r="F59" t="s">
        <v>292</v>
      </c>
    </row>
    <row r="60" spans="1:6" x14ac:dyDescent="0.25">
      <c r="A60" t="s">
        <v>288</v>
      </c>
      <c r="B60" t="s">
        <v>214</v>
      </c>
      <c r="C60" t="s">
        <v>75</v>
      </c>
      <c r="D60" t="s">
        <v>248</v>
      </c>
      <c r="E60" t="s">
        <v>289</v>
      </c>
      <c r="F60" t="s">
        <v>292</v>
      </c>
    </row>
    <row r="61" spans="1:6" x14ac:dyDescent="0.25">
      <c r="A61" t="s">
        <v>288</v>
      </c>
      <c r="B61" t="s">
        <v>215</v>
      </c>
      <c r="C61" t="s">
        <v>76</v>
      </c>
      <c r="D61" t="s">
        <v>248</v>
      </c>
      <c r="E61" t="s">
        <v>289</v>
      </c>
      <c r="F61" t="s">
        <v>292</v>
      </c>
    </row>
    <row r="62" spans="1:6" x14ac:dyDescent="0.25">
      <c r="A62" t="s">
        <v>288</v>
      </c>
      <c r="B62" t="s">
        <v>216</v>
      </c>
      <c r="C62" t="s">
        <v>77</v>
      </c>
      <c r="D62" t="s">
        <v>248</v>
      </c>
      <c r="E62" t="s">
        <v>289</v>
      </c>
      <c r="F62" t="s">
        <v>292</v>
      </c>
    </row>
    <row r="63" spans="1:6" x14ac:dyDescent="0.25">
      <c r="A63" t="s">
        <v>288</v>
      </c>
      <c r="B63" t="s">
        <v>217</v>
      </c>
      <c r="C63" t="s">
        <v>78</v>
      </c>
      <c r="D63" t="s">
        <v>248</v>
      </c>
      <c r="E63" t="s">
        <v>289</v>
      </c>
      <c r="F63" t="s">
        <v>292</v>
      </c>
    </row>
    <row r="64" spans="1:6" x14ac:dyDescent="0.25">
      <c r="A64" t="s">
        <v>288</v>
      </c>
      <c r="B64" t="s">
        <v>218</v>
      </c>
      <c r="C64" t="s">
        <v>79</v>
      </c>
      <c r="D64" t="s">
        <v>248</v>
      </c>
      <c r="E64" t="s">
        <v>289</v>
      </c>
      <c r="F64" t="s">
        <v>292</v>
      </c>
    </row>
    <row r="65" spans="1:6" x14ac:dyDescent="0.25">
      <c r="A65" t="s">
        <v>288</v>
      </c>
      <c r="B65" t="s">
        <v>219</v>
      </c>
      <c r="C65" t="s">
        <v>80</v>
      </c>
      <c r="D65" t="s">
        <v>248</v>
      </c>
      <c r="E65" t="s">
        <v>289</v>
      </c>
      <c r="F65" t="s">
        <v>292</v>
      </c>
    </row>
    <row r="66" spans="1:6" x14ac:dyDescent="0.25">
      <c r="A66" t="s">
        <v>288</v>
      </c>
      <c r="B66" t="s">
        <v>220</v>
      </c>
      <c r="C66" t="s">
        <v>81</v>
      </c>
      <c r="D66" t="s">
        <v>248</v>
      </c>
      <c r="E66" t="s">
        <v>289</v>
      </c>
      <c r="F66" t="s">
        <v>292</v>
      </c>
    </row>
    <row r="67" spans="1:6" x14ac:dyDescent="0.25">
      <c r="A67" t="s">
        <v>288</v>
      </c>
      <c r="B67" t="s">
        <v>221</v>
      </c>
      <c r="C67" t="s">
        <v>82</v>
      </c>
      <c r="D67" t="s">
        <v>248</v>
      </c>
      <c r="E67" t="s">
        <v>289</v>
      </c>
      <c r="F67" t="s">
        <v>292</v>
      </c>
    </row>
    <row r="68" spans="1:6" x14ac:dyDescent="0.25">
      <c r="A68" t="s">
        <v>288</v>
      </c>
      <c r="B68" t="s">
        <v>222</v>
      </c>
      <c r="C68" t="s">
        <v>83</v>
      </c>
      <c r="D68" t="s">
        <v>248</v>
      </c>
      <c r="E68" t="s">
        <v>289</v>
      </c>
      <c r="F68" t="s">
        <v>292</v>
      </c>
    </row>
    <row r="69" spans="1:6" x14ac:dyDescent="0.25">
      <c r="A69" t="s">
        <v>288</v>
      </c>
      <c r="B69" t="s">
        <v>223</v>
      </c>
      <c r="C69" t="s">
        <v>84</v>
      </c>
      <c r="D69" t="s">
        <v>248</v>
      </c>
      <c r="E69" t="s">
        <v>289</v>
      </c>
      <c r="F69" t="s">
        <v>292</v>
      </c>
    </row>
    <row r="70" spans="1:6" x14ac:dyDescent="0.25">
      <c r="A70" t="s">
        <v>288</v>
      </c>
      <c r="B70" t="s">
        <v>224</v>
      </c>
      <c r="C70" t="s">
        <v>85</v>
      </c>
      <c r="D70" t="s">
        <v>248</v>
      </c>
      <c r="E70" t="s">
        <v>289</v>
      </c>
      <c r="F70" t="s">
        <v>292</v>
      </c>
    </row>
    <row r="71" spans="1:6" x14ac:dyDescent="0.25">
      <c r="A71" t="s">
        <v>288</v>
      </c>
      <c r="B71" t="s">
        <v>225</v>
      </c>
      <c r="C71" t="s">
        <v>86</v>
      </c>
      <c r="D71" t="s">
        <v>248</v>
      </c>
      <c r="E71" t="s">
        <v>289</v>
      </c>
      <c r="F71" t="s">
        <v>292</v>
      </c>
    </row>
    <row r="72" spans="1:6" x14ac:dyDescent="0.25">
      <c r="A72" t="s">
        <v>288</v>
      </c>
      <c r="B72" t="s">
        <v>226</v>
      </c>
      <c r="C72" t="s">
        <v>136</v>
      </c>
      <c r="D72" t="s">
        <v>248</v>
      </c>
      <c r="E72" t="s">
        <v>289</v>
      </c>
      <c r="F72" t="s">
        <v>292</v>
      </c>
    </row>
    <row r="73" spans="1:6" x14ac:dyDescent="0.25">
      <c r="A73" t="s">
        <v>288</v>
      </c>
      <c r="B73" t="s">
        <v>227</v>
      </c>
      <c r="C73" t="s">
        <v>137</v>
      </c>
      <c r="D73" t="s">
        <v>248</v>
      </c>
      <c r="E73" t="s">
        <v>289</v>
      </c>
      <c r="F73" t="s">
        <v>292</v>
      </c>
    </row>
    <row r="74" spans="1:6" x14ac:dyDescent="0.25">
      <c r="A74" t="s">
        <v>288</v>
      </c>
      <c r="B74" t="s">
        <v>228</v>
      </c>
      <c r="C74" t="s">
        <v>138</v>
      </c>
      <c r="D74" t="s">
        <v>248</v>
      </c>
      <c r="E74" t="s">
        <v>289</v>
      </c>
      <c r="F74" t="s">
        <v>292</v>
      </c>
    </row>
    <row r="75" spans="1:6" x14ac:dyDescent="0.25">
      <c r="A75" t="s">
        <v>288</v>
      </c>
      <c r="B75" t="s">
        <v>229</v>
      </c>
      <c r="C75" t="s">
        <v>139</v>
      </c>
      <c r="D75" t="s">
        <v>248</v>
      </c>
      <c r="E75" t="s">
        <v>289</v>
      </c>
      <c r="F75" t="s">
        <v>292</v>
      </c>
    </row>
    <row r="76" spans="1:6" x14ac:dyDescent="0.25">
      <c r="A76" t="s">
        <v>288</v>
      </c>
      <c r="B76" t="s">
        <v>230</v>
      </c>
      <c r="C76" t="s">
        <v>140</v>
      </c>
      <c r="D76" t="s">
        <v>248</v>
      </c>
      <c r="E76" t="s">
        <v>289</v>
      </c>
      <c r="F76" t="s">
        <v>292</v>
      </c>
    </row>
    <row r="77" spans="1:6" x14ac:dyDescent="0.25">
      <c r="A77" t="s">
        <v>288</v>
      </c>
      <c r="B77" t="s">
        <v>231</v>
      </c>
      <c r="C77" t="s">
        <v>141</v>
      </c>
      <c r="D77" t="s">
        <v>248</v>
      </c>
      <c r="E77" t="s">
        <v>289</v>
      </c>
      <c r="F77" t="s">
        <v>292</v>
      </c>
    </row>
    <row r="78" spans="1:6" x14ac:dyDescent="0.25">
      <c r="A78" t="s">
        <v>288</v>
      </c>
      <c r="B78" t="s">
        <v>232</v>
      </c>
      <c r="C78" t="s">
        <v>142</v>
      </c>
      <c r="D78" t="s">
        <v>248</v>
      </c>
      <c r="E78" t="s">
        <v>289</v>
      </c>
      <c r="F78" t="s">
        <v>292</v>
      </c>
    </row>
    <row r="79" spans="1:6" x14ac:dyDescent="0.25">
      <c r="A79" t="s">
        <v>288</v>
      </c>
      <c r="B79" t="s">
        <v>233</v>
      </c>
      <c r="C79" t="s">
        <v>143</v>
      </c>
      <c r="D79" t="s">
        <v>248</v>
      </c>
      <c r="E79" t="s">
        <v>289</v>
      </c>
      <c r="F79" t="s">
        <v>292</v>
      </c>
    </row>
    <row r="80" spans="1:6" x14ac:dyDescent="0.25">
      <c r="A80" t="s">
        <v>288</v>
      </c>
      <c r="B80" t="s">
        <v>234</v>
      </c>
      <c r="C80" t="s">
        <v>144</v>
      </c>
      <c r="D80" t="s">
        <v>248</v>
      </c>
      <c r="E80" t="s">
        <v>289</v>
      </c>
      <c r="F80" t="s">
        <v>292</v>
      </c>
    </row>
    <row r="81" spans="1:6" x14ac:dyDescent="0.25">
      <c r="A81" t="s">
        <v>288</v>
      </c>
      <c r="B81" t="s">
        <v>235</v>
      </c>
      <c r="C81" t="s">
        <v>145</v>
      </c>
      <c r="D81" t="s">
        <v>248</v>
      </c>
      <c r="E81" t="s">
        <v>289</v>
      </c>
      <c r="F81" t="s">
        <v>292</v>
      </c>
    </row>
    <row r="82" spans="1:6" x14ac:dyDescent="0.25">
      <c r="A82" t="s">
        <v>288</v>
      </c>
      <c r="B82" t="s">
        <v>236</v>
      </c>
      <c r="C82" t="s">
        <v>146</v>
      </c>
      <c r="D82" t="s">
        <v>248</v>
      </c>
      <c r="E82" t="s">
        <v>289</v>
      </c>
      <c r="F82" t="s">
        <v>292</v>
      </c>
    </row>
    <row r="83" spans="1:6" x14ac:dyDescent="0.25">
      <c r="A83" t="s">
        <v>288</v>
      </c>
      <c r="B83" t="s">
        <v>237</v>
      </c>
      <c r="C83" t="s">
        <v>147</v>
      </c>
      <c r="D83" t="s">
        <v>248</v>
      </c>
      <c r="E83" t="s">
        <v>289</v>
      </c>
      <c r="F83" t="s">
        <v>292</v>
      </c>
    </row>
    <row r="84" spans="1:6" x14ac:dyDescent="0.25">
      <c r="A84" t="s">
        <v>288</v>
      </c>
      <c r="B84" t="s">
        <v>238</v>
      </c>
      <c r="C84" t="s">
        <v>148</v>
      </c>
      <c r="D84" t="s">
        <v>248</v>
      </c>
      <c r="E84" t="s">
        <v>289</v>
      </c>
      <c r="F84" t="s">
        <v>292</v>
      </c>
    </row>
    <row r="85" spans="1:6" x14ac:dyDescent="0.25">
      <c r="A85" t="s">
        <v>288</v>
      </c>
      <c r="B85" t="s">
        <v>239</v>
      </c>
      <c r="C85" t="s">
        <v>149</v>
      </c>
      <c r="D85" t="s">
        <v>248</v>
      </c>
      <c r="E85" t="s">
        <v>289</v>
      </c>
      <c r="F85" t="s">
        <v>292</v>
      </c>
    </row>
    <row r="86" spans="1:6" x14ac:dyDescent="0.25">
      <c r="A86" t="s">
        <v>288</v>
      </c>
      <c r="B86" t="s">
        <v>240</v>
      </c>
      <c r="C86" t="s">
        <v>150</v>
      </c>
      <c r="D86" t="s">
        <v>248</v>
      </c>
      <c r="E86" t="s">
        <v>289</v>
      </c>
      <c r="F86" t="s">
        <v>292</v>
      </c>
    </row>
    <row r="87" spans="1:6" x14ac:dyDescent="0.25">
      <c r="A87" t="s">
        <v>288</v>
      </c>
      <c r="B87" t="s">
        <v>241</v>
      </c>
      <c r="C87" t="s">
        <v>151</v>
      </c>
      <c r="D87" t="s">
        <v>248</v>
      </c>
      <c r="E87" t="s">
        <v>289</v>
      </c>
      <c r="F87" t="s">
        <v>292</v>
      </c>
    </row>
    <row r="88" spans="1:6" x14ac:dyDescent="0.25">
      <c r="A88" t="s">
        <v>288</v>
      </c>
      <c r="B88" t="s">
        <v>242</v>
      </c>
      <c r="C88" t="s">
        <v>152</v>
      </c>
      <c r="D88" t="s">
        <v>248</v>
      </c>
      <c r="E88" t="s">
        <v>289</v>
      </c>
      <c r="F88" t="s">
        <v>292</v>
      </c>
    </row>
    <row r="89" spans="1:6" x14ac:dyDescent="0.25">
      <c r="A89" t="s">
        <v>288</v>
      </c>
      <c r="B89" t="s">
        <v>243</v>
      </c>
      <c r="C89" t="s">
        <v>153</v>
      </c>
      <c r="D89" t="s">
        <v>248</v>
      </c>
      <c r="E89" t="s">
        <v>289</v>
      </c>
      <c r="F89" t="s">
        <v>292</v>
      </c>
    </row>
    <row r="90" spans="1:6" x14ac:dyDescent="0.25">
      <c r="A90" t="s">
        <v>288</v>
      </c>
      <c r="B90" t="s">
        <v>244</v>
      </c>
      <c r="C90" t="s">
        <v>154</v>
      </c>
      <c r="D90" t="s">
        <v>248</v>
      </c>
      <c r="E90" t="s">
        <v>289</v>
      </c>
      <c r="F90" t="s">
        <v>292</v>
      </c>
    </row>
    <row r="91" spans="1:6" x14ac:dyDescent="0.25">
      <c r="A91" t="s">
        <v>288</v>
      </c>
      <c r="B91" t="s">
        <v>245</v>
      </c>
      <c r="C91" t="s">
        <v>155</v>
      </c>
      <c r="D91" t="s">
        <v>248</v>
      </c>
      <c r="E91" t="s">
        <v>289</v>
      </c>
      <c r="F91" t="s">
        <v>292</v>
      </c>
    </row>
    <row r="92" spans="1:6" x14ac:dyDescent="0.25">
      <c r="A92" t="s">
        <v>288</v>
      </c>
      <c r="B92" t="s">
        <v>156</v>
      </c>
      <c r="C92" t="s">
        <v>16</v>
      </c>
      <c r="D92" t="s">
        <v>248</v>
      </c>
      <c r="E92" t="s">
        <v>289</v>
      </c>
      <c r="F92" t="s">
        <v>293</v>
      </c>
    </row>
    <row r="93" spans="1:6" x14ac:dyDescent="0.25">
      <c r="A93" t="s">
        <v>288</v>
      </c>
      <c r="B93" t="s">
        <v>157</v>
      </c>
      <c r="C93" t="s">
        <v>18</v>
      </c>
      <c r="D93" t="s">
        <v>248</v>
      </c>
      <c r="E93" t="s">
        <v>289</v>
      </c>
      <c r="F93" t="s">
        <v>293</v>
      </c>
    </row>
    <row r="94" spans="1:6" x14ac:dyDescent="0.25">
      <c r="A94" t="s">
        <v>288</v>
      </c>
      <c r="B94" t="s">
        <v>158</v>
      </c>
      <c r="C94" t="s">
        <v>19</v>
      </c>
      <c r="D94" t="s">
        <v>248</v>
      </c>
      <c r="E94" t="s">
        <v>289</v>
      </c>
      <c r="F94" t="s">
        <v>293</v>
      </c>
    </row>
    <row r="95" spans="1:6" x14ac:dyDescent="0.25">
      <c r="A95" t="s">
        <v>288</v>
      </c>
      <c r="B95" t="s">
        <v>159</v>
      </c>
      <c r="C95" t="s">
        <v>20</v>
      </c>
      <c r="D95" t="s">
        <v>248</v>
      </c>
      <c r="E95" t="s">
        <v>289</v>
      </c>
      <c r="F95" t="s">
        <v>293</v>
      </c>
    </row>
    <row r="96" spans="1:6" x14ac:dyDescent="0.25">
      <c r="A96" t="s">
        <v>288</v>
      </c>
      <c r="B96" t="s">
        <v>160</v>
      </c>
      <c r="C96" t="s">
        <v>21</v>
      </c>
      <c r="D96" t="s">
        <v>248</v>
      </c>
      <c r="E96" t="s">
        <v>289</v>
      </c>
      <c r="F96" t="s">
        <v>293</v>
      </c>
    </row>
    <row r="97" spans="1:6" x14ac:dyDescent="0.25">
      <c r="A97" t="s">
        <v>288</v>
      </c>
      <c r="B97" t="s">
        <v>161</v>
      </c>
      <c r="C97" t="s">
        <v>22</v>
      </c>
      <c r="D97" t="s">
        <v>248</v>
      </c>
      <c r="E97" t="s">
        <v>289</v>
      </c>
      <c r="F97" t="s">
        <v>293</v>
      </c>
    </row>
    <row r="98" spans="1:6" x14ac:dyDescent="0.25">
      <c r="A98" t="s">
        <v>288</v>
      </c>
      <c r="B98" t="s">
        <v>162</v>
      </c>
      <c r="C98" t="s">
        <v>23</v>
      </c>
      <c r="D98" t="s">
        <v>248</v>
      </c>
      <c r="E98" t="s">
        <v>289</v>
      </c>
      <c r="F98" t="s">
        <v>293</v>
      </c>
    </row>
    <row r="99" spans="1:6" x14ac:dyDescent="0.25">
      <c r="A99" t="s">
        <v>288</v>
      </c>
      <c r="B99" t="s">
        <v>163</v>
      </c>
      <c r="C99" t="s">
        <v>24</v>
      </c>
      <c r="D99" t="s">
        <v>248</v>
      </c>
      <c r="E99" t="s">
        <v>289</v>
      </c>
      <c r="F99" t="s">
        <v>293</v>
      </c>
    </row>
    <row r="100" spans="1:6" x14ac:dyDescent="0.25">
      <c r="A100" t="s">
        <v>288</v>
      </c>
      <c r="B100" t="s">
        <v>164</v>
      </c>
      <c r="C100" t="s">
        <v>25</v>
      </c>
      <c r="D100" t="s">
        <v>248</v>
      </c>
      <c r="E100" t="s">
        <v>289</v>
      </c>
      <c r="F100" t="s">
        <v>293</v>
      </c>
    </row>
    <row r="101" spans="1:6" x14ac:dyDescent="0.25">
      <c r="A101" t="s">
        <v>288</v>
      </c>
      <c r="B101" t="s">
        <v>165</v>
      </c>
      <c r="C101" t="s">
        <v>26</v>
      </c>
      <c r="D101" t="s">
        <v>248</v>
      </c>
      <c r="E101" t="s">
        <v>289</v>
      </c>
      <c r="F101" t="s">
        <v>293</v>
      </c>
    </row>
    <row r="102" spans="1:6" x14ac:dyDescent="0.25">
      <c r="A102" t="s">
        <v>288</v>
      </c>
      <c r="B102" t="s">
        <v>166</v>
      </c>
      <c r="C102" t="s">
        <v>27</v>
      </c>
      <c r="D102" t="s">
        <v>248</v>
      </c>
      <c r="E102" t="s">
        <v>289</v>
      </c>
      <c r="F102" t="s">
        <v>293</v>
      </c>
    </row>
    <row r="103" spans="1:6" x14ac:dyDescent="0.25">
      <c r="A103" t="s">
        <v>288</v>
      </c>
      <c r="B103" t="s">
        <v>167</v>
      </c>
      <c r="C103" t="s">
        <v>28</v>
      </c>
      <c r="D103" t="s">
        <v>248</v>
      </c>
      <c r="E103" t="s">
        <v>289</v>
      </c>
      <c r="F103" t="s">
        <v>293</v>
      </c>
    </row>
    <row r="104" spans="1:6" x14ac:dyDescent="0.25">
      <c r="A104" t="s">
        <v>288</v>
      </c>
      <c r="B104" t="s">
        <v>168</v>
      </c>
      <c r="C104" t="s">
        <v>29</v>
      </c>
      <c r="D104" t="s">
        <v>248</v>
      </c>
      <c r="E104" t="s">
        <v>289</v>
      </c>
      <c r="F104" t="s">
        <v>293</v>
      </c>
    </row>
    <row r="105" spans="1:6" x14ac:dyDescent="0.25">
      <c r="A105" t="s">
        <v>288</v>
      </c>
      <c r="B105" t="s">
        <v>169</v>
      </c>
      <c r="C105" t="s">
        <v>30</v>
      </c>
      <c r="D105" t="s">
        <v>248</v>
      </c>
      <c r="E105" t="s">
        <v>289</v>
      </c>
      <c r="F105" t="s">
        <v>293</v>
      </c>
    </row>
    <row r="106" spans="1:6" x14ac:dyDescent="0.25">
      <c r="A106" t="s">
        <v>288</v>
      </c>
      <c r="B106" t="s">
        <v>170</v>
      </c>
      <c r="C106" t="s">
        <v>31</v>
      </c>
      <c r="D106" t="s">
        <v>248</v>
      </c>
      <c r="E106" t="s">
        <v>289</v>
      </c>
      <c r="F106" t="s">
        <v>293</v>
      </c>
    </row>
    <row r="107" spans="1:6" x14ac:dyDescent="0.25">
      <c r="A107" t="s">
        <v>288</v>
      </c>
      <c r="B107" t="s">
        <v>171</v>
      </c>
      <c r="C107" t="s">
        <v>32</v>
      </c>
      <c r="D107" t="s">
        <v>248</v>
      </c>
      <c r="E107" t="s">
        <v>289</v>
      </c>
      <c r="F107" t="s">
        <v>293</v>
      </c>
    </row>
    <row r="108" spans="1:6" x14ac:dyDescent="0.25">
      <c r="A108" t="s">
        <v>288</v>
      </c>
      <c r="B108" t="s">
        <v>172</v>
      </c>
      <c r="C108" t="s">
        <v>33</v>
      </c>
      <c r="D108" t="s">
        <v>248</v>
      </c>
      <c r="E108" t="s">
        <v>289</v>
      </c>
      <c r="F108" t="s">
        <v>293</v>
      </c>
    </row>
    <row r="109" spans="1:6" x14ac:dyDescent="0.25">
      <c r="A109" t="s">
        <v>288</v>
      </c>
      <c r="B109" t="s">
        <v>173</v>
      </c>
      <c r="C109" t="s">
        <v>34</v>
      </c>
      <c r="D109" t="s">
        <v>248</v>
      </c>
      <c r="E109" t="s">
        <v>289</v>
      </c>
      <c r="F109" t="s">
        <v>293</v>
      </c>
    </row>
    <row r="110" spans="1:6" x14ac:dyDescent="0.25">
      <c r="A110" t="s">
        <v>288</v>
      </c>
      <c r="B110" t="s">
        <v>174</v>
      </c>
      <c r="C110" t="s">
        <v>35</v>
      </c>
      <c r="D110" t="s">
        <v>248</v>
      </c>
      <c r="E110" t="s">
        <v>289</v>
      </c>
      <c r="F110" t="s">
        <v>293</v>
      </c>
    </row>
    <row r="111" spans="1:6" x14ac:dyDescent="0.25">
      <c r="A111" t="s">
        <v>288</v>
      </c>
      <c r="B111" t="s">
        <v>175</v>
      </c>
      <c r="C111" t="s">
        <v>36</v>
      </c>
      <c r="D111" t="s">
        <v>248</v>
      </c>
      <c r="E111" t="s">
        <v>289</v>
      </c>
      <c r="F111" t="s">
        <v>293</v>
      </c>
    </row>
    <row r="112" spans="1:6" x14ac:dyDescent="0.25">
      <c r="A112" t="s">
        <v>288</v>
      </c>
      <c r="B112" t="s">
        <v>176</v>
      </c>
      <c r="C112" t="s">
        <v>37</v>
      </c>
      <c r="D112" t="s">
        <v>248</v>
      </c>
      <c r="E112" t="s">
        <v>289</v>
      </c>
      <c r="F112" t="s">
        <v>293</v>
      </c>
    </row>
    <row r="113" spans="1:6" x14ac:dyDescent="0.25">
      <c r="A113" t="s">
        <v>288</v>
      </c>
      <c r="B113" t="s">
        <v>177</v>
      </c>
      <c r="C113" t="s">
        <v>38</v>
      </c>
      <c r="D113" t="s">
        <v>248</v>
      </c>
      <c r="E113" t="s">
        <v>289</v>
      </c>
      <c r="F113" t="s">
        <v>293</v>
      </c>
    </row>
    <row r="114" spans="1:6" x14ac:dyDescent="0.25">
      <c r="A114" t="s">
        <v>288</v>
      </c>
      <c r="B114" t="s">
        <v>178</v>
      </c>
      <c r="C114" t="s">
        <v>39</v>
      </c>
      <c r="D114" t="s">
        <v>248</v>
      </c>
      <c r="E114" t="s">
        <v>289</v>
      </c>
      <c r="F114" t="s">
        <v>293</v>
      </c>
    </row>
    <row r="115" spans="1:6" x14ac:dyDescent="0.25">
      <c r="A115" t="s">
        <v>288</v>
      </c>
      <c r="B115" t="s">
        <v>179</v>
      </c>
      <c r="C115" t="s">
        <v>40</v>
      </c>
      <c r="D115" t="s">
        <v>248</v>
      </c>
      <c r="E115" t="s">
        <v>289</v>
      </c>
      <c r="F115" t="s">
        <v>293</v>
      </c>
    </row>
    <row r="116" spans="1:6" x14ac:dyDescent="0.25">
      <c r="A116" t="s">
        <v>288</v>
      </c>
      <c r="B116" t="s">
        <v>180</v>
      </c>
      <c r="C116" t="s">
        <v>41</v>
      </c>
      <c r="D116" t="s">
        <v>248</v>
      </c>
      <c r="E116" t="s">
        <v>289</v>
      </c>
      <c r="F116" t="s">
        <v>293</v>
      </c>
    </row>
    <row r="117" spans="1:6" x14ac:dyDescent="0.25">
      <c r="A117" t="s">
        <v>288</v>
      </c>
      <c r="B117" t="s">
        <v>181</v>
      </c>
      <c r="C117" t="s">
        <v>42</v>
      </c>
      <c r="D117" t="s">
        <v>248</v>
      </c>
      <c r="E117" t="s">
        <v>289</v>
      </c>
      <c r="F117" t="s">
        <v>293</v>
      </c>
    </row>
    <row r="118" spans="1:6" x14ac:dyDescent="0.25">
      <c r="A118" t="s">
        <v>288</v>
      </c>
      <c r="B118" t="s">
        <v>182</v>
      </c>
      <c r="C118" t="s">
        <v>43</v>
      </c>
      <c r="D118" t="s">
        <v>248</v>
      </c>
      <c r="E118" t="s">
        <v>289</v>
      </c>
      <c r="F118" t="s">
        <v>293</v>
      </c>
    </row>
    <row r="119" spans="1:6" x14ac:dyDescent="0.25">
      <c r="A119" t="s">
        <v>288</v>
      </c>
      <c r="B119" t="s">
        <v>183</v>
      </c>
      <c r="C119" t="s">
        <v>44</v>
      </c>
      <c r="D119" t="s">
        <v>248</v>
      </c>
      <c r="E119" t="s">
        <v>289</v>
      </c>
      <c r="F119" t="s">
        <v>293</v>
      </c>
    </row>
    <row r="120" spans="1:6" x14ac:dyDescent="0.25">
      <c r="A120" t="s">
        <v>288</v>
      </c>
      <c r="B120" t="s">
        <v>184</v>
      </c>
      <c r="C120" t="s">
        <v>45</v>
      </c>
      <c r="D120" t="s">
        <v>248</v>
      </c>
      <c r="E120" t="s">
        <v>289</v>
      </c>
      <c r="F120" t="s">
        <v>293</v>
      </c>
    </row>
    <row r="121" spans="1:6" x14ac:dyDescent="0.25">
      <c r="A121" t="s">
        <v>288</v>
      </c>
      <c r="B121" t="s">
        <v>185</v>
      </c>
      <c r="C121" t="s">
        <v>46</v>
      </c>
      <c r="D121" t="s">
        <v>248</v>
      </c>
      <c r="E121" t="s">
        <v>289</v>
      </c>
      <c r="F121" t="s">
        <v>293</v>
      </c>
    </row>
    <row r="122" spans="1:6" x14ac:dyDescent="0.25">
      <c r="A122" t="s">
        <v>288</v>
      </c>
      <c r="B122" t="s">
        <v>186</v>
      </c>
      <c r="C122" t="s">
        <v>47</v>
      </c>
      <c r="D122" t="s">
        <v>248</v>
      </c>
      <c r="E122" t="s">
        <v>289</v>
      </c>
      <c r="F122" t="s">
        <v>293</v>
      </c>
    </row>
    <row r="123" spans="1:6" x14ac:dyDescent="0.25">
      <c r="A123" t="s">
        <v>288</v>
      </c>
      <c r="B123" t="s">
        <v>187</v>
      </c>
      <c r="C123" t="s">
        <v>48</v>
      </c>
      <c r="D123" t="s">
        <v>248</v>
      </c>
      <c r="E123" t="s">
        <v>289</v>
      </c>
      <c r="F123" t="s">
        <v>293</v>
      </c>
    </row>
    <row r="124" spans="1:6" x14ac:dyDescent="0.25">
      <c r="A124" t="s">
        <v>288</v>
      </c>
      <c r="B124" t="s">
        <v>188</v>
      </c>
      <c r="C124" t="s">
        <v>49</v>
      </c>
      <c r="D124" t="s">
        <v>248</v>
      </c>
      <c r="E124" t="s">
        <v>289</v>
      </c>
      <c r="F124" t="s">
        <v>293</v>
      </c>
    </row>
    <row r="125" spans="1:6" x14ac:dyDescent="0.25">
      <c r="A125" t="s">
        <v>288</v>
      </c>
      <c r="B125" t="s">
        <v>189</v>
      </c>
      <c r="C125" t="s">
        <v>50</v>
      </c>
      <c r="D125" t="s">
        <v>248</v>
      </c>
      <c r="E125" t="s">
        <v>289</v>
      </c>
      <c r="F125" t="s">
        <v>293</v>
      </c>
    </row>
    <row r="126" spans="1:6" x14ac:dyDescent="0.25">
      <c r="A126" t="s">
        <v>288</v>
      </c>
      <c r="B126" t="s">
        <v>190</v>
      </c>
      <c r="C126" t="s">
        <v>51</v>
      </c>
      <c r="D126" t="s">
        <v>248</v>
      </c>
      <c r="E126" t="s">
        <v>289</v>
      </c>
      <c r="F126" t="s">
        <v>293</v>
      </c>
    </row>
    <row r="127" spans="1:6" x14ac:dyDescent="0.25">
      <c r="A127" t="s">
        <v>288</v>
      </c>
      <c r="B127" t="s">
        <v>191</v>
      </c>
      <c r="C127" t="s">
        <v>52</v>
      </c>
      <c r="D127" t="s">
        <v>248</v>
      </c>
      <c r="E127" t="s">
        <v>289</v>
      </c>
      <c r="F127" t="s">
        <v>293</v>
      </c>
    </row>
    <row r="128" spans="1:6" x14ac:dyDescent="0.25">
      <c r="A128" t="s">
        <v>288</v>
      </c>
      <c r="B128" t="s">
        <v>192</v>
      </c>
      <c r="C128" t="s">
        <v>53</v>
      </c>
      <c r="D128" t="s">
        <v>248</v>
      </c>
      <c r="E128" t="s">
        <v>289</v>
      </c>
      <c r="F128" t="s">
        <v>293</v>
      </c>
    </row>
    <row r="129" spans="1:6" x14ac:dyDescent="0.25">
      <c r="A129" t="s">
        <v>288</v>
      </c>
      <c r="B129" t="s">
        <v>193</v>
      </c>
      <c r="C129" t="s">
        <v>54</v>
      </c>
      <c r="D129" t="s">
        <v>248</v>
      </c>
      <c r="E129" t="s">
        <v>289</v>
      </c>
      <c r="F129" t="s">
        <v>293</v>
      </c>
    </row>
    <row r="130" spans="1:6" x14ac:dyDescent="0.25">
      <c r="A130" t="s">
        <v>288</v>
      </c>
      <c r="B130" t="s">
        <v>194</v>
      </c>
      <c r="C130" t="s">
        <v>55</v>
      </c>
      <c r="D130" t="s">
        <v>248</v>
      </c>
      <c r="E130" t="s">
        <v>289</v>
      </c>
      <c r="F130" t="s">
        <v>293</v>
      </c>
    </row>
    <row r="131" spans="1:6" x14ac:dyDescent="0.25">
      <c r="A131" t="s">
        <v>288</v>
      </c>
      <c r="B131" t="s">
        <v>195</v>
      </c>
      <c r="C131" t="s">
        <v>56</v>
      </c>
      <c r="D131" t="s">
        <v>248</v>
      </c>
      <c r="E131" t="s">
        <v>289</v>
      </c>
      <c r="F131" t="s">
        <v>293</v>
      </c>
    </row>
    <row r="132" spans="1:6" x14ac:dyDescent="0.25">
      <c r="A132" t="s">
        <v>288</v>
      </c>
      <c r="B132" t="s">
        <v>196</v>
      </c>
      <c r="C132" t="s">
        <v>57</v>
      </c>
      <c r="D132" t="s">
        <v>248</v>
      </c>
      <c r="E132" t="s">
        <v>289</v>
      </c>
      <c r="F132" t="s">
        <v>293</v>
      </c>
    </row>
    <row r="133" spans="1:6" x14ac:dyDescent="0.25">
      <c r="A133" t="s">
        <v>288</v>
      </c>
      <c r="B133" t="s">
        <v>197</v>
      </c>
      <c r="C133" t="s">
        <v>58</v>
      </c>
      <c r="D133" t="s">
        <v>248</v>
      </c>
      <c r="E133" t="s">
        <v>289</v>
      </c>
      <c r="F133" t="s">
        <v>293</v>
      </c>
    </row>
    <row r="134" spans="1:6" x14ac:dyDescent="0.25">
      <c r="A134" t="s">
        <v>288</v>
      </c>
      <c r="B134" t="s">
        <v>198</v>
      </c>
      <c r="C134" t="s">
        <v>59</v>
      </c>
      <c r="D134" t="s">
        <v>248</v>
      </c>
      <c r="E134" t="s">
        <v>289</v>
      </c>
      <c r="F134" t="s">
        <v>293</v>
      </c>
    </row>
    <row r="135" spans="1:6" x14ac:dyDescent="0.25">
      <c r="A135" t="s">
        <v>288</v>
      </c>
      <c r="B135" t="s">
        <v>199</v>
      </c>
      <c r="C135" t="s">
        <v>60</v>
      </c>
      <c r="D135" t="s">
        <v>248</v>
      </c>
      <c r="E135" t="s">
        <v>289</v>
      </c>
      <c r="F135" t="s">
        <v>293</v>
      </c>
    </row>
    <row r="136" spans="1:6" x14ac:dyDescent="0.25">
      <c r="A136" t="s">
        <v>288</v>
      </c>
      <c r="B136" t="s">
        <v>200</v>
      </c>
      <c r="C136" t="s">
        <v>61</v>
      </c>
      <c r="D136" t="s">
        <v>248</v>
      </c>
      <c r="E136" t="s">
        <v>289</v>
      </c>
      <c r="F136" t="s">
        <v>293</v>
      </c>
    </row>
    <row r="137" spans="1:6" x14ac:dyDescent="0.25">
      <c r="A137" t="s">
        <v>288</v>
      </c>
      <c r="B137" t="s">
        <v>201</v>
      </c>
      <c r="C137" t="s">
        <v>62</v>
      </c>
      <c r="D137" t="s">
        <v>248</v>
      </c>
      <c r="E137" t="s">
        <v>289</v>
      </c>
      <c r="F137" t="s">
        <v>293</v>
      </c>
    </row>
    <row r="138" spans="1:6" x14ac:dyDescent="0.25">
      <c r="A138" t="s">
        <v>288</v>
      </c>
      <c r="B138" t="s">
        <v>202</v>
      </c>
      <c r="C138" t="s">
        <v>63</v>
      </c>
      <c r="D138" t="s">
        <v>248</v>
      </c>
      <c r="E138" t="s">
        <v>289</v>
      </c>
      <c r="F138" t="s">
        <v>293</v>
      </c>
    </row>
    <row r="139" spans="1:6" x14ac:dyDescent="0.25">
      <c r="A139" t="s">
        <v>288</v>
      </c>
      <c r="B139" t="s">
        <v>203</v>
      </c>
      <c r="C139" t="s">
        <v>64</v>
      </c>
      <c r="D139" t="s">
        <v>248</v>
      </c>
      <c r="E139" t="s">
        <v>289</v>
      </c>
      <c r="F139" t="s">
        <v>293</v>
      </c>
    </row>
    <row r="140" spans="1:6" x14ac:dyDescent="0.25">
      <c r="A140" t="s">
        <v>288</v>
      </c>
      <c r="B140" t="s">
        <v>204</v>
      </c>
      <c r="C140" t="s">
        <v>65</v>
      </c>
      <c r="D140" t="s">
        <v>248</v>
      </c>
      <c r="E140" t="s">
        <v>289</v>
      </c>
      <c r="F140" t="s">
        <v>293</v>
      </c>
    </row>
    <row r="141" spans="1:6" x14ac:dyDescent="0.25">
      <c r="A141" t="s">
        <v>288</v>
      </c>
      <c r="B141" t="s">
        <v>205</v>
      </c>
      <c r="C141" t="s">
        <v>66</v>
      </c>
      <c r="D141" t="s">
        <v>248</v>
      </c>
      <c r="E141" t="s">
        <v>289</v>
      </c>
      <c r="F141" t="s">
        <v>293</v>
      </c>
    </row>
    <row r="142" spans="1:6" x14ac:dyDescent="0.25">
      <c r="A142" t="s">
        <v>288</v>
      </c>
      <c r="B142" t="s">
        <v>206</v>
      </c>
      <c r="C142" t="s">
        <v>67</v>
      </c>
      <c r="D142" t="s">
        <v>248</v>
      </c>
      <c r="E142" t="s">
        <v>289</v>
      </c>
      <c r="F142" t="s">
        <v>293</v>
      </c>
    </row>
    <row r="143" spans="1:6" x14ac:dyDescent="0.25">
      <c r="A143" t="s">
        <v>288</v>
      </c>
      <c r="B143" t="s">
        <v>207</v>
      </c>
      <c r="C143" t="s">
        <v>68</v>
      </c>
      <c r="D143" t="s">
        <v>248</v>
      </c>
      <c r="E143" t="s">
        <v>289</v>
      </c>
      <c r="F143" t="s">
        <v>293</v>
      </c>
    </row>
    <row r="144" spans="1:6" x14ac:dyDescent="0.25">
      <c r="A144" t="s">
        <v>288</v>
      </c>
      <c r="B144" t="s">
        <v>208</v>
      </c>
      <c r="C144" t="s">
        <v>69</v>
      </c>
      <c r="D144" t="s">
        <v>248</v>
      </c>
      <c r="E144" t="s">
        <v>289</v>
      </c>
      <c r="F144" t="s">
        <v>293</v>
      </c>
    </row>
    <row r="145" spans="1:6" x14ac:dyDescent="0.25">
      <c r="A145" t="s">
        <v>288</v>
      </c>
      <c r="B145" t="s">
        <v>209</v>
      </c>
      <c r="C145" t="s">
        <v>70</v>
      </c>
      <c r="D145" t="s">
        <v>248</v>
      </c>
      <c r="E145" t="s">
        <v>289</v>
      </c>
      <c r="F145" t="s">
        <v>293</v>
      </c>
    </row>
    <row r="146" spans="1:6" x14ac:dyDescent="0.25">
      <c r="A146" t="s">
        <v>288</v>
      </c>
      <c r="B146" t="s">
        <v>210</v>
      </c>
      <c r="C146" t="s">
        <v>71</v>
      </c>
      <c r="D146" t="s">
        <v>248</v>
      </c>
      <c r="E146" t="s">
        <v>289</v>
      </c>
      <c r="F146" t="s">
        <v>293</v>
      </c>
    </row>
    <row r="147" spans="1:6" x14ac:dyDescent="0.25">
      <c r="A147" t="s">
        <v>288</v>
      </c>
      <c r="B147" t="s">
        <v>211</v>
      </c>
      <c r="C147" t="s">
        <v>72</v>
      </c>
      <c r="D147" t="s">
        <v>248</v>
      </c>
      <c r="E147" t="s">
        <v>289</v>
      </c>
      <c r="F147" t="s">
        <v>293</v>
      </c>
    </row>
    <row r="148" spans="1:6" x14ac:dyDescent="0.25">
      <c r="A148" t="s">
        <v>288</v>
      </c>
      <c r="B148" t="s">
        <v>212</v>
      </c>
      <c r="C148" t="s">
        <v>73</v>
      </c>
      <c r="D148" t="s">
        <v>248</v>
      </c>
      <c r="E148" t="s">
        <v>289</v>
      </c>
      <c r="F148" t="s">
        <v>293</v>
      </c>
    </row>
    <row r="149" spans="1:6" x14ac:dyDescent="0.25">
      <c r="A149" t="s">
        <v>288</v>
      </c>
      <c r="B149" t="s">
        <v>213</v>
      </c>
      <c r="C149" t="s">
        <v>74</v>
      </c>
      <c r="D149" t="s">
        <v>248</v>
      </c>
      <c r="E149" t="s">
        <v>289</v>
      </c>
      <c r="F149" t="s">
        <v>293</v>
      </c>
    </row>
    <row r="150" spans="1:6" x14ac:dyDescent="0.25">
      <c r="A150" t="s">
        <v>288</v>
      </c>
      <c r="B150" t="s">
        <v>214</v>
      </c>
      <c r="C150" t="s">
        <v>75</v>
      </c>
      <c r="D150" t="s">
        <v>248</v>
      </c>
      <c r="E150" t="s">
        <v>289</v>
      </c>
      <c r="F150" t="s">
        <v>293</v>
      </c>
    </row>
    <row r="151" spans="1:6" x14ac:dyDescent="0.25">
      <c r="A151" t="s">
        <v>288</v>
      </c>
      <c r="B151" t="s">
        <v>215</v>
      </c>
      <c r="C151" t="s">
        <v>76</v>
      </c>
      <c r="D151" t="s">
        <v>248</v>
      </c>
      <c r="E151" t="s">
        <v>289</v>
      </c>
      <c r="F151" t="s">
        <v>293</v>
      </c>
    </row>
    <row r="152" spans="1:6" x14ac:dyDescent="0.25">
      <c r="A152" t="s">
        <v>288</v>
      </c>
      <c r="B152" t="s">
        <v>216</v>
      </c>
      <c r="C152" t="s">
        <v>77</v>
      </c>
      <c r="D152" t="s">
        <v>248</v>
      </c>
      <c r="E152" t="s">
        <v>289</v>
      </c>
      <c r="F152" t="s">
        <v>293</v>
      </c>
    </row>
    <row r="153" spans="1:6" x14ac:dyDescent="0.25">
      <c r="A153" t="s">
        <v>288</v>
      </c>
      <c r="B153" t="s">
        <v>217</v>
      </c>
      <c r="C153" t="s">
        <v>78</v>
      </c>
      <c r="D153" t="s">
        <v>248</v>
      </c>
      <c r="E153" t="s">
        <v>289</v>
      </c>
      <c r="F153" t="s">
        <v>293</v>
      </c>
    </row>
    <row r="154" spans="1:6" x14ac:dyDescent="0.25">
      <c r="A154" t="s">
        <v>288</v>
      </c>
      <c r="B154" t="s">
        <v>218</v>
      </c>
      <c r="C154" t="s">
        <v>79</v>
      </c>
      <c r="D154" t="s">
        <v>248</v>
      </c>
      <c r="E154" t="s">
        <v>289</v>
      </c>
      <c r="F154" t="s">
        <v>293</v>
      </c>
    </row>
    <row r="155" spans="1:6" x14ac:dyDescent="0.25">
      <c r="A155" t="s">
        <v>288</v>
      </c>
      <c r="B155" t="s">
        <v>219</v>
      </c>
      <c r="C155" t="s">
        <v>80</v>
      </c>
      <c r="D155" t="s">
        <v>248</v>
      </c>
      <c r="E155" t="s">
        <v>289</v>
      </c>
      <c r="F155" t="s">
        <v>293</v>
      </c>
    </row>
    <row r="156" spans="1:6" x14ac:dyDescent="0.25">
      <c r="A156" t="s">
        <v>288</v>
      </c>
      <c r="B156" t="s">
        <v>220</v>
      </c>
      <c r="C156" t="s">
        <v>81</v>
      </c>
      <c r="D156" t="s">
        <v>248</v>
      </c>
      <c r="E156" t="s">
        <v>289</v>
      </c>
      <c r="F156" t="s">
        <v>293</v>
      </c>
    </row>
    <row r="157" spans="1:6" x14ac:dyDescent="0.25">
      <c r="A157" t="s">
        <v>288</v>
      </c>
      <c r="B157" t="s">
        <v>221</v>
      </c>
      <c r="C157" t="s">
        <v>82</v>
      </c>
      <c r="D157" t="s">
        <v>248</v>
      </c>
      <c r="E157" t="s">
        <v>289</v>
      </c>
      <c r="F157" t="s">
        <v>293</v>
      </c>
    </row>
    <row r="158" spans="1:6" x14ac:dyDescent="0.25">
      <c r="A158" t="s">
        <v>288</v>
      </c>
      <c r="B158" t="s">
        <v>222</v>
      </c>
      <c r="C158" t="s">
        <v>83</v>
      </c>
      <c r="D158" t="s">
        <v>248</v>
      </c>
      <c r="E158" t="s">
        <v>289</v>
      </c>
      <c r="F158" t="s">
        <v>293</v>
      </c>
    </row>
    <row r="159" spans="1:6" x14ac:dyDescent="0.25">
      <c r="A159" t="s">
        <v>288</v>
      </c>
      <c r="B159" t="s">
        <v>223</v>
      </c>
      <c r="C159" t="s">
        <v>84</v>
      </c>
      <c r="D159" t="s">
        <v>248</v>
      </c>
      <c r="E159" t="s">
        <v>289</v>
      </c>
      <c r="F159" t="s">
        <v>293</v>
      </c>
    </row>
    <row r="160" spans="1:6" x14ac:dyDescent="0.25">
      <c r="A160" t="s">
        <v>288</v>
      </c>
      <c r="B160" t="s">
        <v>224</v>
      </c>
      <c r="C160" t="s">
        <v>85</v>
      </c>
      <c r="D160" t="s">
        <v>248</v>
      </c>
      <c r="E160" t="s">
        <v>289</v>
      </c>
      <c r="F160" t="s">
        <v>293</v>
      </c>
    </row>
    <row r="161" spans="1:6" x14ac:dyDescent="0.25">
      <c r="A161" t="s">
        <v>288</v>
      </c>
      <c r="B161" t="s">
        <v>225</v>
      </c>
      <c r="C161" t="s">
        <v>86</v>
      </c>
      <c r="D161" t="s">
        <v>248</v>
      </c>
      <c r="E161" t="s">
        <v>289</v>
      </c>
      <c r="F161" t="s">
        <v>293</v>
      </c>
    </row>
    <row r="162" spans="1:6" x14ac:dyDescent="0.25">
      <c r="A162" t="s">
        <v>288</v>
      </c>
      <c r="B162" t="s">
        <v>226</v>
      </c>
      <c r="C162" t="s">
        <v>136</v>
      </c>
      <c r="D162" t="s">
        <v>248</v>
      </c>
      <c r="E162" t="s">
        <v>289</v>
      </c>
      <c r="F162" t="s">
        <v>293</v>
      </c>
    </row>
    <row r="163" spans="1:6" x14ac:dyDescent="0.25">
      <c r="A163" t="s">
        <v>288</v>
      </c>
      <c r="B163" t="s">
        <v>227</v>
      </c>
      <c r="C163" t="s">
        <v>137</v>
      </c>
      <c r="D163" t="s">
        <v>248</v>
      </c>
      <c r="E163" t="s">
        <v>289</v>
      </c>
      <c r="F163" t="s">
        <v>293</v>
      </c>
    </row>
    <row r="164" spans="1:6" x14ac:dyDescent="0.25">
      <c r="A164" t="s">
        <v>288</v>
      </c>
      <c r="B164" t="s">
        <v>228</v>
      </c>
      <c r="C164" t="s">
        <v>138</v>
      </c>
      <c r="D164" t="s">
        <v>248</v>
      </c>
      <c r="E164" t="s">
        <v>289</v>
      </c>
      <c r="F164" t="s">
        <v>293</v>
      </c>
    </row>
    <row r="165" spans="1:6" x14ac:dyDescent="0.25">
      <c r="A165" t="s">
        <v>288</v>
      </c>
      <c r="B165" t="s">
        <v>229</v>
      </c>
      <c r="C165" t="s">
        <v>139</v>
      </c>
      <c r="D165" t="s">
        <v>248</v>
      </c>
      <c r="E165" t="s">
        <v>289</v>
      </c>
      <c r="F165" t="s">
        <v>293</v>
      </c>
    </row>
    <row r="166" spans="1:6" x14ac:dyDescent="0.25">
      <c r="A166" t="s">
        <v>288</v>
      </c>
      <c r="B166" t="s">
        <v>230</v>
      </c>
      <c r="C166" t="s">
        <v>140</v>
      </c>
      <c r="D166" t="s">
        <v>248</v>
      </c>
      <c r="E166" t="s">
        <v>289</v>
      </c>
      <c r="F166" t="s">
        <v>293</v>
      </c>
    </row>
    <row r="167" spans="1:6" x14ac:dyDescent="0.25">
      <c r="A167" t="s">
        <v>288</v>
      </c>
      <c r="B167" t="s">
        <v>231</v>
      </c>
      <c r="C167" t="s">
        <v>141</v>
      </c>
      <c r="D167" t="s">
        <v>248</v>
      </c>
      <c r="E167" t="s">
        <v>289</v>
      </c>
      <c r="F167" t="s">
        <v>293</v>
      </c>
    </row>
    <row r="168" spans="1:6" x14ac:dyDescent="0.25">
      <c r="A168" t="s">
        <v>288</v>
      </c>
      <c r="B168" t="s">
        <v>232</v>
      </c>
      <c r="C168" t="s">
        <v>142</v>
      </c>
      <c r="D168" t="s">
        <v>248</v>
      </c>
      <c r="E168" t="s">
        <v>289</v>
      </c>
      <c r="F168" t="s">
        <v>293</v>
      </c>
    </row>
    <row r="169" spans="1:6" x14ac:dyDescent="0.25">
      <c r="A169" t="s">
        <v>288</v>
      </c>
      <c r="B169" t="s">
        <v>233</v>
      </c>
      <c r="C169" t="s">
        <v>143</v>
      </c>
      <c r="D169" t="s">
        <v>248</v>
      </c>
      <c r="E169" t="s">
        <v>289</v>
      </c>
      <c r="F169" t="s">
        <v>293</v>
      </c>
    </row>
    <row r="170" spans="1:6" x14ac:dyDescent="0.25">
      <c r="A170" t="s">
        <v>288</v>
      </c>
      <c r="B170" t="s">
        <v>234</v>
      </c>
      <c r="C170" t="s">
        <v>144</v>
      </c>
      <c r="D170" t="s">
        <v>248</v>
      </c>
      <c r="E170" t="s">
        <v>289</v>
      </c>
      <c r="F170" t="s">
        <v>293</v>
      </c>
    </row>
    <row r="171" spans="1:6" x14ac:dyDescent="0.25">
      <c r="A171" t="s">
        <v>288</v>
      </c>
      <c r="B171" t="s">
        <v>235</v>
      </c>
      <c r="C171" t="s">
        <v>145</v>
      </c>
      <c r="D171" t="s">
        <v>248</v>
      </c>
      <c r="E171" t="s">
        <v>289</v>
      </c>
      <c r="F171" t="s">
        <v>293</v>
      </c>
    </row>
    <row r="172" spans="1:6" x14ac:dyDescent="0.25">
      <c r="A172" t="s">
        <v>288</v>
      </c>
      <c r="B172" t="s">
        <v>236</v>
      </c>
      <c r="C172" t="s">
        <v>146</v>
      </c>
      <c r="D172" t="s">
        <v>248</v>
      </c>
      <c r="E172" t="s">
        <v>289</v>
      </c>
      <c r="F172" t="s">
        <v>293</v>
      </c>
    </row>
    <row r="173" spans="1:6" x14ac:dyDescent="0.25">
      <c r="A173" t="s">
        <v>288</v>
      </c>
      <c r="B173" t="s">
        <v>237</v>
      </c>
      <c r="C173" t="s">
        <v>147</v>
      </c>
      <c r="D173" t="s">
        <v>248</v>
      </c>
      <c r="E173" t="s">
        <v>289</v>
      </c>
      <c r="F173" t="s">
        <v>293</v>
      </c>
    </row>
    <row r="174" spans="1:6" x14ac:dyDescent="0.25">
      <c r="A174" t="s">
        <v>288</v>
      </c>
      <c r="B174" t="s">
        <v>238</v>
      </c>
      <c r="C174" t="s">
        <v>148</v>
      </c>
      <c r="D174" t="s">
        <v>248</v>
      </c>
      <c r="E174" t="s">
        <v>289</v>
      </c>
      <c r="F174" t="s">
        <v>293</v>
      </c>
    </row>
    <row r="175" spans="1:6" x14ac:dyDescent="0.25">
      <c r="A175" t="s">
        <v>288</v>
      </c>
      <c r="B175" t="s">
        <v>239</v>
      </c>
      <c r="C175" t="s">
        <v>149</v>
      </c>
      <c r="D175" t="s">
        <v>248</v>
      </c>
      <c r="E175" t="s">
        <v>289</v>
      </c>
      <c r="F175" t="s">
        <v>293</v>
      </c>
    </row>
    <row r="176" spans="1:6" x14ac:dyDescent="0.25">
      <c r="A176" t="s">
        <v>288</v>
      </c>
      <c r="B176" t="s">
        <v>240</v>
      </c>
      <c r="C176" t="s">
        <v>150</v>
      </c>
      <c r="D176" t="s">
        <v>248</v>
      </c>
      <c r="E176" t="s">
        <v>289</v>
      </c>
      <c r="F176" t="s">
        <v>293</v>
      </c>
    </row>
    <row r="177" spans="1:7" x14ac:dyDescent="0.25">
      <c r="A177" t="s">
        <v>288</v>
      </c>
      <c r="B177" t="s">
        <v>241</v>
      </c>
      <c r="C177" t="s">
        <v>151</v>
      </c>
      <c r="D177" t="s">
        <v>248</v>
      </c>
      <c r="E177" t="s">
        <v>289</v>
      </c>
      <c r="F177" t="s">
        <v>293</v>
      </c>
    </row>
    <row r="178" spans="1:7" x14ac:dyDescent="0.25">
      <c r="A178" t="s">
        <v>288</v>
      </c>
      <c r="B178" t="s">
        <v>242</v>
      </c>
      <c r="C178" t="s">
        <v>152</v>
      </c>
      <c r="D178" t="s">
        <v>248</v>
      </c>
      <c r="E178" t="s">
        <v>289</v>
      </c>
      <c r="F178" t="s">
        <v>293</v>
      </c>
    </row>
    <row r="179" spans="1:7" x14ac:dyDescent="0.25">
      <c r="A179" t="s">
        <v>288</v>
      </c>
      <c r="B179" t="s">
        <v>243</v>
      </c>
      <c r="C179" t="s">
        <v>153</v>
      </c>
      <c r="D179" t="s">
        <v>248</v>
      </c>
      <c r="E179" t="s">
        <v>289</v>
      </c>
      <c r="F179" t="s">
        <v>293</v>
      </c>
    </row>
    <row r="180" spans="1:7" x14ac:dyDescent="0.25">
      <c r="A180" t="s">
        <v>288</v>
      </c>
      <c r="B180" t="s">
        <v>244</v>
      </c>
      <c r="C180" t="s">
        <v>154</v>
      </c>
      <c r="D180" t="s">
        <v>248</v>
      </c>
      <c r="E180" t="s">
        <v>289</v>
      </c>
      <c r="F180" t="s">
        <v>293</v>
      </c>
    </row>
    <row r="181" spans="1:7" x14ac:dyDescent="0.25">
      <c r="A181" t="s">
        <v>288</v>
      </c>
      <c r="B181" t="s">
        <v>245</v>
      </c>
      <c r="C181" t="s">
        <v>155</v>
      </c>
      <c r="D181" t="s">
        <v>248</v>
      </c>
      <c r="E181" t="s">
        <v>289</v>
      </c>
      <c r="F181" t="s">
        <v>293</v>
      </c>
    </row>
    <row r="183" spans="1:7" x14ac:dyDescent="0.25">
      <c r="A183" t="s">
        <v>288</v>
      </c>
      <c r="B183" t="s">
        <v>248</v>
      </c>
      <c r="C183" t="s">
        <v>289</v>
      </c>
      <c r="D183" t="s">
        <v>248</v>
      </c>
      <c r="E183" t="s">
        <v>290</v>
      </c>
      <c r="F183" t="s">
        <v>292</v>
      </c>
      <c r="G183" t="s">
        <v>375</v>
      </c>
    </row>
    <row r="184" spans="1:7" x14ac:dyDescent="0.25">
      <c r="A184" t="s">
        <v>288</v>
      </c>
      <c r="B184" t="s">
        <v>248</v>
      </c>
      <c r="C184" t="s">
        <v>289</v>
      </c>
      <c r="D184" t="s">
        <v>248</v>
      </c>
      <c r="E184" t="s">
        <v>290</v>
      </c>
      <c r="F184" t="s">
        <v>293</v>
      </c>
      <c r="G184" t="s">
        <v>296</v>
      </c>
    </row>
    <row r="185" spans="1:7" x14ac:dyDescent="0.25">
      <c r="A185" t="s">
        <v>288</v>
      </c>
      <c r="B185" t="s">
        <v>248</v>
      </c>
      <c r="C185" t="s">
        <v>289</v>
      </c>
      <c r="D185" t="s">
        <v>248</v>
      </c>
      <c r="E185" t="s">
        <v>290</v>
      </c>
      <c r="F185" t="s">
        <v>371</v>
      </c>
      <c r="G185" t="s">
        <v>373</v>
      </c>
    </row>
    <row r="186" spans="1:7" x14ac:dyDescent="0.25">
      <c r="A186" t="s">
        <v>288</v>
      </c>
      <c r="B186" t="s">
        <v>248</v>
      </c>
      <c r="C186" t="s">
        <v>289</v>
      </c>
      <c r="D186" t="s">
        <v>248</v>
      </c>
      <c r="E186" t="s">
        <v>290</v>
      </c>
      <c r="F186" t="s">
        <v>371</v>
      </c>
      <c r="G186" t="s">
        <v>374</v>
      </c>
    </row>
    <row r="188" spans="1:7" x14ac:dyDescent="0.25">
      <c r="A188" t="s">
        <v>288</v>
      </c>
      <c r="B188" t="s">
        <v>248</v>
      </c>
      <c r="C188" t="s">
        <v>290</v>
      </c>
      <c r="D188" t="s">
        <v>249</v>
      </c>
      <c r="E188" t="s">
        <v>291</v>
      </c>
      <c r="F188" t="s">
        <v>292</v>
      </c>
      <c r="G188" t="s">
        <v>375</v>
      </c>
    </row>
    <row r="189" spans="1:7" x14ac:dyDescent="0.25">
      <c r="A189" t="s">
        <v>288</v>
      </c>
      <c r="B189" t="s">
        <v>248</v>
      </c>
      <c r="C189" t="s">
        <v>290</v>
      </c>
      <c r="D189" t="s">
        <v>249</v>
      </c>
      <c r="E189" t="s">
        <v>291</v>
      </c>
      <c r="F189" t="s">
        <v>371</v>
      </c>
      <c r="G189" t="s">
        <v>372</v>
      </c>
    </row>
    <row r="190" spans="1:7" x14ac:dyDescent="0.25">
      <c r="A190" t="s">
        <v>288</v>
      </c>
      <c r="B190" t="s">
        <v>248</v>
      </c>
      <c r="C190" t="s">
        <v>290</v>
      </c>
      <c r="D190" t="s">
        <v>249</v>
      </c>
      <c r="E190" t="s">
        <v>291</v>
      </c>
      <c r="F190" t="s">
        <v>371</v>
      </c>
      <c r="G190" t="s">
        <v>373</v>
      </c>
    </row>
    <row r="191" spans="1:7" x14ac:dyDescent="0.25">
      <c r="A191" t="s">
        <v>288</v>
      </c>
      <c r="B191" t="s">
        <v>248</v>
      </c>
      <c r="C191" t="s">
        <v>290</v>
      </c>
      <c r="D191" t="s">
        <v>249</v>
      </c>
      <c r="E191" t="s">
        <v>291</v>
      </c>
      <c r="F191" t="s">
        <v>371</v>
      </c>
      <c r="G191" t="s">
        <v>374</v>
      </c>
    </row>
    <row r="192" spans="1:7" x14ac:dyDescent="0.25">
      <c r="A192" t="s">
        <v>288</v>
      </c>
      <c r="B192" t="s">
        <v>248</v>
      </c>
      <c r="C192" t="s">
        <v>290</v>
      </c>
      <c r="D192" t="s">
        <v>249</v>
      </c>
      <c r="E192" t="s">
        <v>291</v>
      </c>
      <c r="F192" t="s">
        <v>293</v>
      </c>
      <c r="G192" t="s">
        <v>296</v>
      </c>
    </row>
    <row r="194" spans="1:7" x14ac:dyDescent="0.25">
      <c r="A194" t="s">
        <v>288</v>
      </c>
      <c r="B194" t="s">
        <v>248</v>
      </c>
      <c r="C194" t="s">
        <v>290</v>
      </c>
      <c r="D194" t="s">
        <v>250</v>
      </c>
      <c r="E194" t="s">
        <v>111</v>
      </c>
      <c r="F194" t="s">
        <v>293</v>
      </c>
      <c r="G194" t="s">
        <v>297</v>
      </c>
    </row>
    <row r="196" spans="1:7" x14ac:dyDescent="0.25">
      <c r="A196" t="s">
        <v>288</v>
      </c>
      <c r="B196" t="s">
        <v>249</v>
      </c>
      <c r="C196" t="s">
        <v>291</v>
      </c>
      <c r="D196" t="s">
        <v>247</v>
      </c>
      <c r="E196" t="s">
        <v>114</v>
      </c>
      <c r="F196" t="s">
        <v>292</v>
      </c>
      <c r="G196" t="s">
        <v>375</v>
      </c>
    </row>
    <row r="197" spans="1:7" x14ac:dyDescent="0.25">
      <c r="A197" t="s">
        <v>288</v>
      </c>
      <c r="B197" t="s">
        <v>249</v>
      </c>
      <c r="C197" t="s">
        <v>291</v>
      </c>
      <c r="D197" t="s">
        <v>247</v>
      </c>
      <c r="E197" t="s">
        <v>114</v>
      </c>
      <c r="F197" t="s">
        <v>371</v>
      </c>
      <c r="G197" t="s">
        <v>372</v>
      </c>
    </row>
    <row r="198" spans="1:7" x14ac:dyDescent="0.25">
      <c r="A198" t="s">
        <v>288</v>
      </c>
      <c r="B198" t="s">
        <v>249</v>
      </c>
      <c r="C198" t="s">
        <v>291</v>
      </c>
      <c r="D198" t="s">
        <v>247</v>
      </c>
      <c r="E198" t="s">
        <v>114</v>
      </c>
      <c r="F198" t="s">
        <v>371</v>
      </c>
      <c r="G198" t="s">
        <v>373</v>
      </c>
    </row>
    <row r="199" spans="1:7" x14ac:dyDescent="0.25">
      <c r="A199" t="s">
        <v>288</v>
      </c>
      <c r="B199" t="s">
        <v>249</v>
      </c>
      <c r="C199" t="s">
        <v>291</v>
      </c>
      <c r="D199" t="s">
        <v>247</v>
      </c>
      <c r="E199" t="s">
        <v>114</v>
      </c>
      <c r="F199" t="s">
        <v>371</v>
      </c>
      <c r="G199" t="s">
        <v>374</v>
      </c>
    </row>
    <row r="201" spans="1:7" x14ac:dyDescent="0.25">
      <c r="A201" t="s">
        <v>288</v>
      </c>
      <c r="B201" t="s">
        <v>249</v>
      </c>
      <c r="C201" t="s">
        <v>291</v>
      </c>
      <c r="D201" t="s">
        <v>250</v>
      </c>
      <c r="E201" t="s">
        <v>111</v>
      </c>
      <c r="F201" t="s">
        <v>293</v>
      </c>
      <c r="G201" t="s">
        <v>297</v>
      </c>
    </row>
    <row r="203" spans="1:7" x14ac:dyDescent="0.25">
      <c r="A203" t="s">
        <v>288</v>
      </c>
      <c r="B203" t="s">
        <v>250</v>
      </c>
      <c r="C203" t="s">
        <v>111</v>
      </c>
      <c r="D203" t="s">
        <v>249</v>
      </c>
      <c r="E203" t="s">
        <v>264</v>
      </c>
      <c r="F203" t="s">
        <v>371</v>
      </c>
      <c r="G203" t="s">
        <v>376</v>
      </c>
    </row>
    <row r="205" spans="1:7" x14ac:dyDescent="0.25">
      <c r="A205" t="s">
        <v>288</v>
      </c>
      <c r="B205" t="s">
        <v>247</v>
      </c>
      <c r="C205" t="s">
        <v>114</v>
      </c>
      <c r="D205" t="s">
        <v>249</v>
      </c>
      <c r="E205" t="s">
        <v>264</v>
      </c>
      <c r="F205" t="s">
        <v>371</v>
      </c>
      <c r="G205" t="s">
        <v>376</v>
      </c>
    </row>
    <row r="206" spans="1:7" x14ac:dyDescent="0.25">
      <c r="A206" t="s">
        <v>288</v>
      </c>
      <c r="B206" t="s">
        <v>247</v>
      </c>
      <c r="C206" t="s">
        <v>114</v>
      </c>
      <c r="D206" t="s">
        <v>249</v>
      </c>
      <c r="E206" t="s">
        <v>264</v>
      </c>
      <c r="F206" t="s">
        <v>371</v>
      </c>
      <c r="G206" t="s">
        <v>377</v>
      </c>
    </row>
    <row r="208" spans="1:7" x14ac:dyDescent="0.25">
      <c r="A208" t="s">
        <v>288</v>
      </c>
      <c r="B208" t="s">
        <v>247</v>
      </c>
      <c r="C208" t="s">
        <v>114</v>
      </c>
      <c r="D208" t="s">
        <v>247</v>
      </c>
      <c r="E208" t="s">
        <v>117</v>
      </c>
      <c r="F208" t="s">
        <v>371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3"/>
  <sheetViews>
    <sheetView workbookViewId="0">
      <selection activeCell="J26" sqref="J26"/>
    </sheetView>
  </sheetViews>
  <sheetFormatPr defaultRowHeight="15" x14ac:dyDescent="0.25"/>
  <cols>
    <col min="1" max="2" width="19.42578125" bestFit="1" customWidth="1"/>
  </cols>
  <sheetData>
    <row r="1" spans="1:2" x14ac:dyDescent="0.25">
      <c r="A1" s="1" t="s">
        <v>124</v>
      </c>
      <c r="B1" s="1" t="s">
        <v>125</v>
      </c>
    </row>
    <row r="2" spans="1:2" x14ac:dyDescent="0.25">
      <c r="A2" t="s">
        <v>126</v>
      </c>
      <c r="B2" t="s">
        <v>126</v>
      </c>
    </row>
    <row r="3" spans="1:2" x14ac:dyDescent="0.25">
      <c r="A3" t="s">
        <v>127</v>
      </c>
      <c r="B3" t="s">
        <v>127</v>
      </c>
    </row>
    <row r="4" spans="1:2" x14ac:dyDescent="0.25">
      <c r="A4" t="s">
        <v>128</v>
      </c>
      <c r="B4" t="s">
        <v>128</v>
      </c>
    </row>
    <row r="5" spans="1:2" x14ac:dyDescent="0.25">
      <c r="A5" t="s">
        <v>129</v>
      </c>
      <c r="B5" t="s">
        <v>129</v>
      </c>
    </row>
    <row r="6" spans="1:2" x14ac:dyDescent="0.25">
      <c r="A6" t="s">
        <v>130</v>
      </c>
      <c r="B6" t="s">
        <v>130</v>
      </c>
    </row>
    <row r="7" spans="1:2" x14ac:dyDescent="0.25">
      <c r="A7" t="s">
        <v>131</v>
      </c>
      <c r="B7" t="s">
        <v>131</v>
      </c>
    </row>
    <row r="8" spans="1:2" x14ac:dyDescent="0.25">
      <c r="A8" t="s">
        <v>391</v>
      </c>
      <c r="B8" t="s">
        <v>391</v>
      </c>
    </row>
    <row r="9" spans="1:2" x14ac:dyDescent="0.25">
      <c r="A9" t="s">
        <v>132</v>
      </c>
      <c r="B9" t="s">
        <v>132</v>
      </c>
    </row>
    <row r="10" spans="1:2" x14ac:dyDescent="0.25">
      <c r="A10" t="s">
        <v>112</v>
      </c>
      <c r="B10" t="s">
        <v>112</v>
      </c>
    </row>
    <row r="11" spans="1:2" x14ac:dyDescent="0.25">
      <c r="A11" t="s">
        <v>133</v>
      </c>
      <c r="B11" t="s">
        <v>133</v>
      </c>
    </row>
    <row r="12" spans="1:2" x14ac:dyDescent="0.25">
      <c r="A12" t="s">
        <v>134</v>
      </c>
      <c r="B12" t="s">
        <v>134</v>
      </c>
    </row>
    <row r="13" spans="1:2" x14ac:dyDescent="0.25">
      <c r="A13" t="s">
        <v>280</v>
      </c>
      <c r="B13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 Simulation Parameters</vt:lpstr>
      <vt:lpstr>Facilities</vt:lpstr>
      <vt:lpstr>Wells</vt:lpstr>
      <vt:lpstr>ThreePhaseSeparators</vt:lpstr>
      <vt:lpstr>TwoPhaseSeparators</vt:lpstr>
      <vt:lpstr>Dehydrators</vt:lpstr>
      <vt:lpstr>Compressors</vt:lpstr>
      <vt:lpstr>Misc</vt:lpstr>
      <vt:lpstr>YardPipingSplit</vt:lpstr>
      <vt:lpstr>Tank Battery</vt:lpstr>
      <vt:lpstr>Flares</vt:lpstr>
      <vt:lpstr>Station</vt:lpstr>
      <vt:lpstr>VRUs</vt:lpstr>
      <vt:lpstr>Links</vt:lpstr>
      <vt:lpstr>FFLinks</vt:lpstr>
      <vt:lpstr>Master 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PRAJAY</cp:lastModifiedBy>
  <dcterms:created xsi:type="dcterms:W3CDTF">2021-02-18T15:05:05Z</dcterms:created>
  <dcterms:modified xsi:type="dcterms:W3CDTF">2022-10-31T01:02:52Z</dcterms:modified>
</cp:coreProperties>
</file>