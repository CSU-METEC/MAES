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METEC\MAES2\input\Studies\MEET2\"/>
    </mc:Choice>
  </mc:AlternateContent>
  <xr:revisionPtr revIDLastSave="0" documentId="13_ncr:1_{9961093D-F96F-4B2D-A644-7F53D43C77EF}" xr6:coauthVersionLast="47" xr6:coauthVersionMax="47" xr10:uidLastSave="{00000000-0000-0000-0000-000000000000}"/>
  <bookViews>
    <workbookView xWindow="-120" yWindow="-120" windowWidth="29040" windowHeight="15720" tabRatio="937" activeTab="7" xr2:uid="{00000000-000D-0000-FFFF-FFFF00000000}"/>
  </bookViews>
  <sheets>
    <sheet name="Global Simulation Parameters" sheetId="1" r:id="rId1"/>
    <sheet name="Facilities" sheetId="2" r:id="rId2"/>
    <sheet name="Wells" sheetId="21" r:id="rId3"/>
    <sheet name="CyclingWells" sheetId="25" r:id="rId4"/>
    <sheet name="ContinuousWells" sheetId="26" r:id="rId5"/>
    <sheet name="Separators" sheetId="5" r:id="rId6"/>
    <sheet name="Dehydrators" sheetId="28" r:id="rId7"/>
    <sheet name="Compressors" sheetId="27" r:id="rId8"/>
    <sheet name="TankBattery" sheetId="23" r:id="rId9"/>
    <sheet name="Flares" sheetId="24" r:id="rId10"/>
    <sheet name="Probes" sheetId="22" r:id="rId11"/>
    <sheet name="FFLinks (2)" sheetId="29" r:id="rId12"/>
    <sheet name="FFLinks" sheetId="16" r:id="rId13"/>
    <sheet name="Debug" sheetId="17" r:id="rId14"/>
    <sheet name="Master Equipment" sheetId="14" r:id="rId15"/>
    <sheet name="MAll" sheetId="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" i="27" l="1"/>
  <c r="Z2" i="27"/>
  <c r="W2" i="27"/>
  <c r="V2" i="27"/>
  <c r="B7" i="17" l="1"/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<sst xmlns="http://schemas.openxmlformats.org/spreadsheetml/2006/main" count="611" uniqueCount="244">
  <si>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</si>
  <si>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</si>
  <si>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</si>
  <si>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</si>
  <si>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</si>
  <si>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</si>
  <si>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</si>
  <si>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</si>
  <si>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</si>
  <si>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</si>
  <si>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</si>
  <si>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</si>
  <si>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</si>
  <si>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</si>
  <si>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</si>
  <si>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</si>
  <si>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</si>
  <si>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</si>
  <si>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</si>
  <si>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</si>
  <si>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</si>
  <si>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</si>
  <si>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</si>
  <si>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</si>
  <si>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</si>
  <si>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</si>
  <si>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</si>
  <si>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</si>
  <si>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</si>
  <si>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</si>
  <si>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</si>
  <si>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</si>
  <si>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</si>
  <si>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</si>
  <si>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</si>
  <si>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</si>
  <si>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</si>
  <si>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</si>
  <si>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</si>
  <si>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</si>
  <si>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</si>
  <si>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</si>
  <si>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</si>
  <si>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</si>
  <si>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</si>
  <si>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</si>
  <si>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</si>
  <si>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</si>
  <si>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</si>
  <si>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W1</t>
  </si>
  <si>
    <t>Probe.json</t>
  </si>
  <si>
    <t>Vapor</t>
  </si>
  <si>
    <t>Stage1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</si>
  <si>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</si>
  <si>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</si>
  <si>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</si>
  <si>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</si>
  <si>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</si>
  <si>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</si>
  <si>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</si>
  <si>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</si>
  <si>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Dump Volume [bbl]</t>
  </si>
  <si>
    <t>Dump Time [s]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</si>
  <si>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</si>
  <si>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</si>
  <si>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</si>
  <si>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</si>
  <si>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</si>
  <si>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</si>
  <si>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S2</t>
  </si>
  <si>
    <t>Stage2</t>
  </si>
  <si>
    <t>condensate_flow</t>
  </si>
  <si>
    <t>primary_water</t>
  </si>
  <si>
    <t>stuck_dump_valve_vapor</t>
  </si>
  <si>
    <t>condensate_flash</t>
  </si>
  <si>
    <t>water_flash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</si>
  <si>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</si>
  <si>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</si>
  <si>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</si>
  <si>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</si>
  <si>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</si>
  <si>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</si>
  <si>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</si>
  <si>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</si>
  <si>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TankBattery.json</t>
  </si>
  <si>
    <t>TBW</t>
  </si>
  <si>
    <t>Air</t>
  </si>
  <si>
    <t>Water Tank</t>
  </si>
  <si>
    <t>TBC</t>
  </si>
  <si>
    <t>Condensate Tank</t>
  </si>
  <si>
    <t>Battery Type [Condensate Tank, Water Tank]</t>
  </si>
  <si>
    <t>Fluid [Water, Condensate]</t>
  </si>
  <si>
    <t>TankBattery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</si>
  <si>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</si>
  <si>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</si>
  <si>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</si>
  <si>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</si>
  <si>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</si>
  <si>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</si>
  <si>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</si>
  <si>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</si>
  <si>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</si>
  <si>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</si>
  <si>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</si>
  <si>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</si>
  <si>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</si>
  <si>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Default-LeakGc</t>
  </si>
  <si>
    <t>W2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</si>
  <si>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</si>
  <si>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</si>
  <si>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</si>
  <si>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</si>
  <si>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</si>
  <si>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</si>
  <si>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</si>
  <si>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</si>
  <si>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</si>
  <si>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</si>
  <si>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</si>
  <si>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</si>
  <si>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</si>
  <si>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</si>
  <si>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</si>
  <si>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</si>
  <si>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</si>
  <si>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</si>
  <si>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</si>
  <si>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Manual</t>
  </si>
  <si>
    <t>No</t>
  </si>
  <si>
    <t>some_vent_ID</t>
  </si>
  <si>
    <t>WellCompletions/Allen2013/DurationsFake.csv</t>
  </si>
  <si>
    <t>Di per month</t>
  </si>
  <si>
    <t>b Hyperbolic</t>
  </si>
  <si>
    <t>Age months</t>
  </si>
  <si>
    <t>Well.json</t>
  </si>
  <si>
    <t>ContinuousSeparator.json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</si>
  <si>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</si>
  <si>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</si>
  <si>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</si>
  <si>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</si>
  <si>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</si>
  <si>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</si>
  <si>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Production</t>
  </si>
  <si>
    <t>wellpad_sep</t>
  </si>
  <si>
    <t>wellpad_flare</t>
  </si>
  <si>
    <t>Leak Gas Composition</t>
  </si>
  <si>
    <t>Compressor Power [kW]</t>
  </si>
  <si>
    <t>Driver Type [Turbine, 4SLB, 2SLB, 4SRB, Electric]</t>
  </si>
  <si>
    <t>Compressor Efficiency</t>
  </si>
  <si>
    <t>Load Condition File</t>
  </si>
  <si>
    <t>Engine Efficiency</t>
  </si>
  <si>
    <t>Exhaust Factors</t>
  </si>
  <si>
    <t>Compressor Type [Centrifugal, Reciprocating, Other]</t>
  </si>
  <si>
    <t>Seal Type [Dry, Wet, Rod Packing]</t>
  </si>
  <si>
    <t>Starter Type [Gas, Electric, Air]</t>
  </si>
  <si>
    <t>Average Loading</t>
  </si>
  <si>
    <t>Std Loading</t>
  </si>
  <si>
    <t>Operating Fraction</t>
  </si>
  <si>
    <t>NOP Fraction of NOP/NOD</t>
  </si>
  <si>
    <t>Total Duration Lower Limit [hours]</t>
  </si>
  <si>
    <t>Total Duration Upper Limit [hours]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</si>
  <si>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</si>
  <si>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</si>
  <si>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</si>
  <si>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</si>
  <si>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</si>
  <si>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pLeak</t>
  </si>
  <si>
    <t>Single Unit Vents</t>
  </si>
  <si>
    <t>Common Single-Unit Vent Component Count</t>
  </si>
  <si>
    <t>Common Single-Unit Vent pLeak</t>
  </si>
  <si>
    <t>Seal Vent Component Count</t>
  </si>
  <si>
    <t>Seal Vent pLeak</t>
  </si>
  <si>
    <t>Seal Vent(Large Emitter) Component Count</t>
  </si>
  <si>
    <t>Seal Vent(Large Emitter) pLeak</t>
  </si>
  <si>
    <t>Compressor Starter Vent Component Count</t>
  </si>
  <si>
    <t>Compressor Starter Vent pLeak</t>
  </si>
  <si>
    <t>Common Single-unit Vent(Large Emitter) Component Count</t>
  </si>
  <si>
    <t>Common Single-unit Vent(Large Emitter) pLeak</t>
  </si>
  <si>
    <t>Combustion GC Name</t>
  </si>
  <si>
    <t>comp_1</t>
  </si>
  <si>
    <t>DestEff3366</t>
  </si>
  <si>
    <t>Dry</t>
  </si>
  <si>
    <t>Compressor.json</t>
  </si>
  <si>
    <t>ts_compressor</t>
  </si>
  <si>
    <t>Centrifugal</t>
  </si>
  <si>
    <t>vrt</t>
  </si>
  <si>
    <t>Facility Type</t>
  </si>
  <si>
    <t>Common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</si>
  <si>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</si>
  <si>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</si>
  <si>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</si>
  <si>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</si>
  <si>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</si>
  <si>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</si>
  <si>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Mechanistic Emissions Flag [True, False]</t>
  </si>
  <si>
    <t>Flash Tank  [True, False]</t>
  </si>
  <si>
    <t>Operating Hours [hrs/year]</t>
  </si>
  <si>
    <t>Glycol Pump [Electric, Gas-Assisted]</t>
  </si>
  <si>
    <t xml:space="preserve">Lean Glycol Circulation Ratio [gal/lb] H2O] </t>
  </si>
  <si>
    <r>
      <t>Wet Gas Temperature</t>
    </r>
    <r>
      <rPr>
        <b/>
        <sz val="9"/>
        <color theme="1"/>
        <rFont val="Calibri"/>
        <family val="2"/>
        <scheme val="minor"/>
      </rPr>
      <t xml:space="preserve">  [</t>
    </r>
    <r>
      <rPr>
        <b/>
        <vertAlign val="superscript"/>
        <sz val="9"/>
        <color theme="1"/>
        <rFont val="Calibri"/>
        <family val="2"/>
        <scheme val="minor"/>
      </rPr>
      <t>0</t>
    </r>
    <r>
      <rPr>
        <b/>
        <sz val="11"/>
        <color theme="1"/>
        <rFont val="Calibri"/>
        <family val="2"/>
        <scheme val="minor"/>
      </rPr>
      <t>F]</t>
    </r>
  </si>
  <si>
    <t>Wet Gas Pressure [psia]</t>
  </si>
  <si>
    <t>Lean Glycol Flow Rate  [gpm]</t>
  </si>
  <si>
    <t>Wet Gas Flow Rate [MMSCF/D]</t>
  </si>
  <si>
    <t>Glycol Type [TEG, DEG, EG]</t>
  </si>
  <si>
    <t>Flare Efficiency [%]</t>
  </si>
  <si>
    <t>Gas Assisted</t>
  </si>
  <si>
    <t>TEG</t>
  </si>
  <si>
    <t>Dehydrator.json</t>
  </si>
  <si>
    <t>dehy_001</t>
  </si>
  <si>
    <t>condensate_gas_sales</t>
  </si>
  <si>
    <t>water_gas_sales</t>
  </si>
  <si>
    <t>gas_sales</t>
  </si>
  <si>
    <t>Actuator Type [Gas, Air, Electric, Mechanistic Gas]</t>
  </si>
  <si>
    <t>PRV Threshold [scfh]</t>
  </si>
  <si>
    <t>Max Downstream Equipment Capacity [scfh]</t>
  </si>
  <si>
    <t>Lean Glycol Circulation Rate [gal/min]</t>
  </si>
  <si>
    <t>Mechanistic Thief Hatch Leak MTTR min [days]</t>
  </si>
  <si>
    <t>Mechanistic Thief Hatch Leak MTTR max [days]</t>
  </si>
  <si>
    <t>Mechanistic Thief Hatch pLeak</t>
  </si>
  <si>
    <t>Tank Inlet Flow at Max Downstream Equipment Capacity</t>
  </si>
  <si>
    <t>Tank Controlled [True, False]</t>
  </si>
  <si>
    <t>wellpad_tanks</t>
  </si>
  <si>
    <t>Crankcase Emissions Flag [TRUE, FALSE]</t>
  </si>
  <si>
    <t>CCEE Ratio Distribution</t>
  </si>
  <si>
    <t>Actuator Type [Gas, Air, Electric, Gas Mechanistic]</t>
  </si>
  <si>
    <t>Blowdown Vent MTTRMin [days]</t>
  </si>
  <si>
    <t>Blowdown Vent MTTRMax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</si>
  <si>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</si>
  <si>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</si>
  <si>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</si>
  <si>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</si>
  <si>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</si>
  <si>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</si>
  <si>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Compressor Starter Vent MTTR Min [days]</t>
  </si>
  <si>
    <t>Compressor Starter Vent MTTR Max [days]</t>
  </si>
  <si>
    <t>Common Single-unit Vent(Large Emitter) MTTR Min [days]</t>
  </si>
  <si>
    <t>Common Single-unit Vent(Large Emitter) MTTR Max [days]</t>
  </si>
  <si>
    <t>overload_flow</t>
  </si>
  <si>
    <t>4SRB</t>
  </si>
  <si>
    <t>input/Studies/MEET2/DeltaHGC.csv</t>
  </si>
  <si>
    <t>ContinuousWells</t>
  </si>
  <si>
    <t>Common\EnginesFuelConsumpEq\4SRB\4SRB_95HP_G3304_Caterpillar.csv</t>
  </si>
  <si>
    <t>probe_comp_sdv_overload</t>
  </si>
  <si>
    <t>Probes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</si>
</sst>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15" borderId="0" applyNumberFormat="0" applyBorder="0" applyAlignment="0" applyProtection="0"/>
  </cellStyleXfs>
  <cellXfs count="5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1" fontId="0" fillId="11" borderId="0" xfId="0" applyNumberFormat="1" applyFill="1"/>
    <xf numFmtId="0" fontId="1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0" fontId="1" fillId="6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0" xfId="0" applyFill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5" borderId="0" xfId="1" applyAlignment="1"/>
    <xf numFmtId="0" fontId="4" fillId="15" borderId="0" xfId="1"/>
    <xf numFmtId="0" fontId="1" fillId="16" borderId="1" xfId="0" applyFont="1" applyFill="1" applyBorder="1" applyAlignment="1">
      <alignment horizontal="center" vertical="center" wrapText="1"/>
    </xf>
    <xf numFmtId="1" fontId="0" fillId="16" borderId="0" xfId="0" applyNumberFormat="1" applyFill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2" sqref="B32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50</v>
      </c>
    </row>
    <row r="3" spans="1:2" x14ac:dyDescent="0.25">
      <c r="A3" t="s">
        <v>3</v>
      </c>
      <c r="B3">
        <v>2</v>
      </c>
    </row>
    <row r="4" spans="1:2" x14ac:dyDescent="0.25">
      <c r="A4" t="s">
        <v>186</v>
      </c>
      <c r="B4" t="s">
        <v>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25" sqref="D25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4</v>
      </c>
      <c r="B1" s="3" t="s">
        <v>5</v>
      </c>
      <c r="C1" s="3" t="s">
        <v>6</v>
      </c>
      <c r="D1" s="3" t="s">
        <v>145</v>
      </c>
      <c r="E1" s="3" t="s">
        <v>7</v>
      </c>
    </row>
    <row r="2" spans="1:5" x14ac:dyDescent="0.25">
      <c r="A2" t="s">
        <v>47</v>
      </c>
      <c r="B2" s="5">
        <v>0</v>
      </c>
      <c r="C2" s="5">
        <v>0</v>
      </c>
      <c r="D2" t="s">
        <v>239</v>
      </c>
      <c r="E2" t="s">
        <v>21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2"/>
  <sheetViews>
    <sheetView workbookViewId="0">
      <selection activeCell="N18" sqref="N18"/>
    </sheetView>
  </sheetViews>
  <sheetFormatPr defaultColWidth="15.85546875"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42578125" bestFit="1" customWidth="1"/>
    <col min="9" max="10" width="10.7109375" bestFit="1" customWidth="1"/>
    <col min="11" max="11" width="12.140625" bestFit="1" customWidth="1"/>
    <col min="12" max="12" width="10.7109375" bestFit="1" customWidth="1"/>
    <col min="13" max="13" width="15.7109375" bestFit="1" customWidth="1"/>
    <col min="14" max="14" width="9.28515625" bestFit="1" customWidth="1"/>
    <col min="15" max="15" width="13.42578125" bestFit="1" customWidth="1"/>
    <col min="16" max="16" width="8.7109375" bestFit="1" customWidth="1"/>
    <col min="17" max="17" width="19.85546875" bestFit="1" customWidth="1"/>
    <col min="18" max="18" width="42.85546875" bestFit="1" customWidth="1"/>
    <col min="19" max="19" width="9.85546875" bestFit="1" customWidth="1"/>
  </cols>
  <sheetData>
    <row r="1" spans="1:19" s="10" customFormat="1" ht="6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18" t="s">
        <v>63</v>
      </c>
      <c r="L1" s="18" t="s">
        <v>64</v>
      </c>
      <c r="M1" s="18" t="s">
        <v>65</v>
      </c>
      <c r="N1" s="18" t="s">
        <v>66</v>
      </c>
      <c r="O1" s="7" t="s">
        <v>41</v>
      </c>
      <c r="P1" s="7" t="s">
        <v>35</v>
      </c>
      <c r="Q1" s="7" t="s">
        <v>136</v>
      </c>
      <c r="R1" s="7" t="s">
        <v>43</v>
      </c>
      <c r="S1" s="7" t="s">
        <v>67</v>
      </c>
    </row>
    <row r="2" spans="1:19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24</v>
      </c>
      <c r="J2" s="12">
        <v>24</v>
      </c>
      <c r="K2" s="20">
        <v>1</v>
      </c>
      <c r="L2" s="20">
        <v>60</v>
      </c>
      <c r="M2" s="20">
        <v>10</v>
      </c>
      <c r="N2" s="20">
        <v>5</v>
      </c>
      <c r="O2" t="s">
        <v>68</v>
      </c>
      <c r="P2" t="s">
        <v>11</v>
      </c>
      <c r="Q2" t="s">
        <v>106</v>
      </c>
      <c r="R2" t="s">
        <v>239</v>
      </c>
      <c r="S2" t="s">
        <v>137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A17-5D9C-41BA-B99A-7B1D5DA195B8}">
  <dimension ref="A1:AL2"/>
  <sheetViews>
    <sheetView topLeftCell="P1" workbookViewId="0">
      <selection activeCell="AK2" sqref="AK2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140625" customWidth="1"/>
    <col min="9" max="10" width="11.42578125" customWidth="1"/>
    <col min="11" max="12" width="8.7109375" bestFit="1" customWidth="1"/>
    <col min="13" max="14" width="7.42578125" bestFit="1" customWidth="1"/>
    <col min="15" max="15" width="44" bestFit="1" customWidth="1"/>
    <col min="17" max="18" width="7.42578125" bestFit="1" customWidth="1"/>
    <col min="19" max="19" width="8.28515625" bestFit="1" customWidth="1"/>
    <col min="20" max="20" width="8.42578125" bestFit="1" customWidth="1"/>
    <col min="23" max="23" width="8.5703125" bestFit="1" customWidth="1"/>
    <col min="29" max="30" width="8.7109375" bestFit="1" customWidth="1"/>
    <col min="33" max="34" width="13.85546875" bestFit="1" customWidth="1"/>
    <col min="35" max="35" width="8.7109375" bestFit="1" customWidth="1"/>
    <col min="36" max="36" width="14.5703125" bestFit="1" customWidth="1"/>
    <col min="37" max="37" width="42.85546875" bestFit="1" customWidth="1"/>
    <col min="38" max="38" width="7.5703125" bestFit="1" customWidth="1"/>
  </cols>
  <sheetData>
    <row r="1" spans="1:38" s="10" customFormat="1" ht="9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35" t="s">
        <v>108</v>
      </c>
      <c r="L1" s="35" t="s">
        <v>109</v>
      </c>
      <c r="M1" s="35" t="s">
        <v>110</v>
      </c>
      <c r="N1" s="35" t="s">
        <v>111</v>
      </c>
      <c r="O1" s="35" t="s">
        <v>112</v>
      </c>
      <c r="P1" s="35" t="s">
        <v>113</v>
      </c>
      <c r="Q1" s="35" t="s">
        <v>114</v>
      </c>
      <c r="R1" s="35" t="s">
        <v>115</v>
      </c>
      <c r="S1" s="18" t="s">
        <v>63</v>
      </c>
      <c r="T1" s="18" t="s">
        <v>64</v>
      </c>
      <c r="U1" s="18" t="s">
        <v>65</v>
      </c>
      <c r="V1" s="18" t="s">
        <v>66</v>
      </c>
      <c r="W1" s="7" t="s">
        <v>41</v>
      </c>
      <c r="X1" s="27" t="s">
        <v>116</v>
      </c>
      <c r="Y1" s="27" t="s">
        <v>117</v>
      </c>
      <c r="Z1" s="27" t="s">
        <v>118</v>
      </c>
      <c r="AA1" s="27" t="s">
        <v>119</v>
      </c>
      <c r="AB1" s="27" t="s">
        <v>120</v>
      </c>
      <c r="AC1" s="27" t="s">
        <v>121</v>
      </c>
      <c r="AD1" s="27" t="s">
        <v>122</v>
      </c>
      <c r="AE1" s="27" t="s">
        <v>123</v>
      </c>
      <c r="AF1" s="27" t="s">
        <v>124</v>
      </c>
      <c r="AG1" s="27" t="s">
        <v>125</v>
      </c>
      <c r="AH1" s="35" t="s">
        <v>126</v>
      </c>
      <c r="AI1" s="7" t="s">
        <v>35</v>
      </c>
      <c r="AJ1" s="7" t="s">
        <v>136</v>
      </c>
      <c r="AK1" s="7" t="s">
        <v>43</v>
      </c>
      <c r="AL1" s="7" t="s">
        <v>67</v>
      </c>
    </row>
    <row r="2" spans="1:38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19">
        <v>1</v>
      </c>
      <c r="L2" s="19">
        <v>0.5</v>
      </c>
      <c r="M2" s="19">
        <v>1</v>
      </c>
      <c r="N2" s="19">
        <v>0.4</v>
      </c>
      <c r="O2" s="19" t="s">
        <v>130</v>
      </c>
      <c r="P2" s="19">
        <v>0.6</v>
      </c>
      <c r="Q2" s="19">
        <v>1</v>
      </c>
      <c r="R2" s="19">
        <v>0.3</v>
      </c>
      <c r="S2" s="20">
        <v>1</v>
      </c>
      <c r="T2" s="20">
        <v>60</v>
      </c>
      <c r="U2" s="20">
        <v>10</v>
      </c>
      <c r="V2" s="20">
        <v>10</v>
      </c>
      <c r="W2" t="s">
        <v>68</v>
      </c>
      <c r="X2" s="31" t="b">
        <v>0</v>
      </c>
      <c r="Y2" s="31">
        <v>2</v>
      </c>
      <c r="Z2" s="31">
        <v>3</v>
      </c>
      <c r="AA2" s="31" t="s">
        <v>127</v>
      </c>
      <c r="AB2" s="31" t="s">
        <v>128</v>
      </c>
      <c r="AC2" s="31">
        <v>2</v>
      </c>
      <c r="AD2" s="31">
        <v>3</v>
      </c>
      <c r="AE2" s="31">
        <v>2</v>
      </c>
      <c r="AF2" s="31">
        <v>3</v>
      </c>
      <c r="AG2" s="31" t="s">
        <v>129</v>
      </c>
      <c r="AH2" s="19" t="s">
        <v>142</v>
      </c>
      <c r="AI2" t="s">
        <v>11</v>
      </c>
      <c r="AJ2" t="s">
        <v>106</v>
      </c>
      <c r="AK2" t="s">
        <v>239</v>
      </c>
      <c r="AL2" t="s">
        <v>137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C8AB-2E65-4CDC-84E1-9CD10D7B33D4}">
  <dimension ref="A1:R2"/>
  <sheetViews>
    <sheetView workbookViewId="0">
      <selection activeCell="Q28" sqref="Q28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.28515625" bestFit="1" customWidth="1"/>
    <col min="6" max="6" width="9" bestFit="1" customWidth="1"/>
    <col min="7" max="8" width="8.42578125" bestFit="1" customWidth="1"/>
    <col min="9" max="11" width="8.5703125" bestFit="1" customWidth="1"/>
    <col min="12" max="12" width="6.85546875" bestFit="1" customWidth="1"/>
    <col min="14" max="14" width="7.7109375" bestFit="1" customWidth="1"/>
    <col min="15" max="15" width="8.7109375" bestFit="1" customWidth="1"/>
    <col min="16" max="16" width="14.5703125" bestFit="1" customWidth="1"/>
    <col min="17" max="17" width="42.85546875" bestFit="1" customWidth="1"/>
  </cols>
  <sheetData>
    <row r="1" spans="1:18" s="10" customFormat="1" ht="75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36" t="s">
        <v>54</v>
      </c>
      <c r="J1" s="36" t="s">
        <v>55</v>
      </c>
      <c r="K1" s="7" t="s">
        <v>41</v>
      </c>
      <c r="L1" s="7" t="s">
        <v>131</v>
      </c>
      <c r="M1" s="7" t="s">
        <v>132</v>
      </c>
      <c r="N1" s="7" t="s">
        <v>133</v>
      </c>
      <c r="O1" s="7" t="s">
        <v>35</v>
      </c>
      <c r="P1" s="7" t="s">
        <v>136</v>
      </c>
      <c r="Q1" s="7" t="s">
        <v>43</v>
      </c>
      <c r="R1" s="11" t="s">
        <v>67</v>
      </c>
    </row>
    <row r="2" spans="1:18" x14ac:dyDescent="0.25">
      <c r="A2" t="s">
        <v>47</v>
      </c>
      <c r="B2" t="s">
        <v>134</v>
      </c>
      <c r="C2" t="s">
        <v>49</v>
      </c>
      <c r="D2">
        <v>6.2270000000808068E-4</v>
      </c>
      <c r="E2">
        <v>3.6642000000002284E-3</v>
      </c>
      <c r="F2" s="19">
        <v>365</v>
      </c>
      <c r="G2" s="19">
        <v>20</v>
      </c>
      <c r="H2" s="19">
        <v>0.02</v>
      </c>
      <c r="I2" s="31">
        <v>24</v>
      </c>
      <c r="J2" s="31">
        <v>24</v>
      </c>
      <c r="K2" t="s">
        <v>68</v>
      </c>
      <c r="L2">
        <v>0</v>
      </c>
      <c r="M2">
        <v>1E-4</v>
      </c>
      <c r="N2">
        <v>1</v>
      </c>
      <c r="O2" t="s">
        <v>11</v>
      </c>
      <c r="P2" t="s">
        <v>106</v>
      </c>
      <c r="Q2" t="s">
        <v>239</v>
      </c>
      <c r="R2" t="s">
        <v>137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"/>
  <sheetViews>
    <sheetView workbookViewId="0">
      <selection activeCell="L4" sqref="L4"/>
    </sheetView>
  </sheetViews>
  <sheetFormatPr defaultRowHeight="15" x14ac:dyDescent="0.25"/>
  <cols>
    <col min="1" max="1" width="11.140625" bestFit="1" customWidth="1"/>
    <col min="2" max="2" width="9" bestFit="1" customWidth="1"/>
    <col min="3" max="3" width="24.42578125" bestFit="1" customWidth="1"/>
    <col min="4" max="4" width="11.140625" bestFit="1" customWidth="1"/>
    <col min="5" max="5" width="16.85546875" bestFit="1" customWidth="1"/>
    <col min="6" max="6" width="11.140625" bestFit="1" customWidth="1"/>
    <col min="7" max="7" width="10" style="4" bestFit="1" customWidth="1"/>
    <col min="8" max="9" width="7.7109375" bestFit="1" customWidth="1"/>
    <col min="10" max="10" width="7.85546875" customWidth="1"/>
    <col min="11" max="11" width="16.85546875" bestFit="1" customWidth="1"/>
    <col min="12" max="12" width="16.5703125" bestFit="1" customWidth="1"/>
    <col min="13" max="13" width="18.28515625" bestFit="1" customWidth="1"/>
    <col min="14" max="14" width="18.7109375" customWidth="1"/>
    <col min="15" max="15" width="33.85546875" bestFit="1" customWidth="1"/>
    <col min="16" max="16" width="11.28515625" bestFit="1" customWidth="1"/>
    <col min="17" max="17" width="47.140625" bestFit="1" customWidth="1"/>
    <col min="18" max="18" width="16.85546875" bestFit="1" customWidth="1"/>
  </cols>
  <sheetData>
    <row r="1" spans="1:18" s="10" customFormat="1" ht="75" x14ac:dyDescent="0.25">
      <c r="A1" s="7" t="s">
        <v>4</v>
      </c>
      <c r="B1" s="7" t="s">
        <v>8</v>
      </c>
      <c r="C1" s="7" t="s">
        <v>7</v>
      </c>
      <c r="D1" s="8" t="s">
        <v>40</v>
      </c>
      <c r="E1" s="8" t="s">
        <v>9</v>
      </c>
      <c r="F1" s="8" t="s">
        <v>10</v>
      </c>
      <c r="G1" s="7" t="s">
        <v>41</v>
      </c>
      <c r="H1" s="9" t="s">
        <v>38</v>
      </c>
      <c r="I1" s="15" t="s">
        <v>61</v>
      </c>
      <c r="J1" s="15" t="s">
        <v>62</v>
      </c>
      <c r="K1" s="14" t="s">
        <v>56</v>
      </c>
      <c r="L1" s="14" t="s">
        <v>57</v>
      </c>
      <c r="M1" s="14" t="s">
        <v>58</v>
      </c>
      <c r="N1" s="14" t="s">
        <v>59</v>
      </c>
      <c r="O1" s="14" t="s">
        <v>60</v>
      </c>
      <c r="P1" s="9" t="s">
        <v>36</v>
      </c>
      <c r="Q1" s="7" t="s">
        <v>136</v>
      </c>
      <c r="R1" s="11" t="s">
        <v>67</v>
      </c>
    </row>
    <row r="2" spans="1:18" s="2" customFormat="1" x14ac:dyDescent="0.25">
      <c r="A2" t="s">
        <v>47</v>
      </c>
      <c r="B2" t="s">
        <v>48</v>
      </c>
      <c r="C2" t="s">
        <v>135</v>
      </c>
      <c r="D2" s="6">
        <v>365</v>
      </c>
      <c r="E2" s="6">
        <v>20</v>
      </c>
      <c r="F2" s="6">
        <v>0.02</v>
      </c>
      <c r="G2" s="4" t="s">
        <v>42</v>
      </c>
      <c r="H2">
        <v>1</v>
      </c>
      <c r="I2" s="16">
        <v>4</v>
      </c>
      <c r="J2" s="16">
        <v>20</v>
      </c>
      <c r="K2" s="12">
        <v>0</v>
      </c>
      <c r="L2" s="12">
        <v>1E-4</v>
      </c>
      <c r="M2" s="12">
        <v>5</v>
      </c>
      <c r="N2" s="12">
        <v>9</v>
      </c>
      <c r="O2" s="12">
        <v>0.6</v>
      </c>
      <c r="P2" t="s">
        <v>52</v>
      </c>
      <c r="Q2" t="s">
        <v>138</v>
      </c>
      <c r="R2" s="2" t="s">
        <v>143</v>
      </c>
    </row>
    <row r="3" spans="1:18" s="2" customFormat="1" x14ac:dyDescent="0.25">
      <c r="A3" t="s">
        <v>47</v>
      </c>
      <c r="B3" t="s">
        <v>69</v>
      </c>
      <c r="C3" t="s">
        <v>135</v>
      </c>
      <c r="D3" s="6">
        <v>365</v>
      </c>
      <c r="E3" s="6">
        <v>20</v>
      </c>
      <c r="F3" s="6">
        <v>0.02</v>
      </c>
      <c r="G3" s="4" t="s">
        <v>42</v>
      </c>
      <c r="H3">
        <v>1</v>
      </c>
      <c r="I3" s="16">
        <v>5</v>
      </c>
      <c r="J3" s="16">
        <v>25</v>
      </c>
      <c r="K3" s="12">
        <v>0</v>
      </c>
      <c r="L3" s="12">
        <v>1E-4</v>
      </c>
      <c r="M3" s="12">
        <v>3</v>
      </c>
      <c r="N3" s="12">
        <v>7</v>
      </c>
      <c r="O3" s="12">
        <v>0.6</v>
      </c>
      <c r="P3" t="s">
        <v>70</v>
      </c>
      <c r="Q3" t="s">
        <v>139</v>
      </c>
      <c r="R3" s="2" t="s">
        <v>143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4698-3E9F-4545-B2D7-1401863DF37A}">
  <dimension ref="A1:N2"/>
  <sheetViews>
    <sheetView topLeftCell="F1" workbookViewId="0">
      <selection activeCell="I22" sqref="I22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22.42578125" bestFit="1" customWidth="1"/>
    <col min="4" max="4" width="25.140625" bestFit="1" customWidth="1"/>
    <col min="5" max="5" width="33.5703125" bestFit="1" customWidth="1"/>
    <col min="6" max="6" width="39.42578125" bestFit="1" customWidth="1"/>
    <col min="7" max="7" width="35.140625" bestFit="1" customWidth="1"/>
    <col min="8" max="8" width="24.7109375" bestFit="1" customWidth="1"/>
    <col min="9" max="9" width="22.5703125" bestFit="1" customWidth="1"/>
    <col min="10" max="10" width="27" bestFit="1" customWidth="1"/>
    <col min="11" max="11" width="29.140625" bestFit="1" customWidth="1"/>
    <col min="12" max="12" width="25.140625" bestFit="1" customWidth="1"/>
    <col min="13" max="13" width="18.140625" bestFit="1" customWidth="1"/>
    <col min="14" max="14" width="15.42578125" bestFit="1" customWidth="1"/>
  </cols>
  <sheetData>
    <row r="1" spans="1:14" s="46" customFormat="1" x14ac:dyDescent="0.25">
      <c r="A1" s="45" t="s">
        <v>4</v>
      </c>
      <c r="B1" s="45" t="s">
        <v>8</v>
      </c>
      <c r="C1" s="45" t="s">
        <v>195</v>
      </c>
      <c r="D1" s="45" t="s">
        <v>196</v>
      </c>
      <c r="E1" s="45" t="s">
        <v>197</v>
      </c>
      <c r="F1" s="45" t="s">
        <v>198</v>
      </c>
      <c r="G1" s="45" t="s">
        <v>215</v>
      </c>
      <c r="H1" s="45" t="s">
        <v>199</v>
      </c>
      <c r="I1" s="45" t="s">
        <v>200</v>
      </c>
      <c r="J1" s="45" t="s">
        <v>201</v>
      </c>
      <c r="K1" s="45" t="s">
        <v>202</v>
      </c>
      <c r="L1" s="45" t="s">
        <v>203</v>
      </c>
      <c r="M1" s="45" t="s">
        <v>204</v>
      </c>
      <c r="N1" s="45" t="s">
        <v>7</v>
      </c>
    </row>
    <row r="2" spans="1:14" x14ac:dyDescent="0.25">
      <c r="A2" t="s">
        <v>47</v>
      </c>
      <c r="B2" t="s">
        <v>208</v>
      </c>
      <c r="C2" t="b">
        <v>1</v>
      </c>
      <c r="D2">
        <v>8760</v>
      </c>
      <c r="E2" t="s">
        <v>205</v>
      </c>
      <c r="F2" s="47">
        <v>5.37</v>
      </c>
      <c r="G2">
        <v>14</v>
      </c>
      <c r="H2">
        <v>105</v>
      </c>
      <c r="I2">
        <v>977</v>
      </c>
      <c r="J2">
        <v>33</v>
      </c>
      <c r="K2">
        <v>48.24</v>
      </c>
      <c r="L2" t="s">
        <v>206</v>
      </c>
      <c r="M2">
        <v>0</v>
      </c>
      <c r="N2" t="s">
        <v>207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CFF2C-DAB7-4E04-A795-0A279EB5D26F}">
  <dimension ref="A1:BD2"/>
  <sheetViews>
    <sheetView tabSelected="1" workbookViewId="0">
      <selection activeCell="H3" sqref="H3"/>
    </sheetView>
  </sheetViews>
  <sheetFormatPr defaultRowHeight="15" x14ac:dyDescent="0.25"/>
  <cols>
    <col min="1" max="1" width="11.42578125" bestFit="1" customWidth="1"/>
    <col min="2" max="2" width="7.85546875" bestFit="1" customWidth="1"/>
    <col min="3" max="3" width="10.85546875" bestFit="1" customWidth="1"/>
    <col min="4" max="4" width="21.7109375" bestFit="1" customWidth="1"/>
    <col min="5" max="7" width="11.42578125" bestFit="1" customWidth="1"/>
    <col min="8" max="8" width="11.5703125" bestFit="1" customWidth="1"/>
    <col min="9" max="9" width="13.42578125" bestFit="1" customWidth="1"/>
    <col min="10" max="10" width="20" bestFit="1" customWidth="1"/>
    <col min="11" max="11" width="11.5703125" bestFit="1" customWidth="1"/>
    <col min="12" max="12" width="60.42578125" bestFit="1" customWidth="1"/>
    <col min="13" max="13" width="16.140625" customWidth="1"/>
    <col min="14" max="14" width="14.7109375" bestFit="1" customWidth="1"/>
    <col min="15" max="15" width="13.7109375" bestFit="1" customWidth="1"/>
    <col min="16" max="16" width="9.85546875" customWidth="1"/>
    <col min="17" max="17" width="13.7109375" customWidth="1"/>
    <col min="18" max="18" width="15.7109375" bestFit="1" customWidth="1"/>
    <col min="19" max="19" width="11.140625" bestFit="1" customWidth="1"/>
    <col min="20" max="20" width="9.85546875" bestFit="1" customWidth="1"/>
    <col min="21" max="21" width="15" bestFit="1" customWidth="1"/>
    <col min="22" max="23" width="13.7109375" bestFit="1" customWidth="1"/>
    <col min="24" max="24" width="12.42578125" bestFit="1" customWidth="1"/>
    <col min="25" max="25" width="13.140625" bestFit="1" customWidth="1"/>
    <col min="26" max="27" width="16" customWidth="1"/>
    <col min="28" max="28" width="15.28515625" bestFit="1" customWidth="1"/>
    <col min="29" max="29" width="15.5703125" bestFit="1" customWidth="1"/>
    <col min="30" max="30" width="15.85546875" bestFit="1" customWidth="1"/>
    <col min="31" max="31" width="15.28515625" bestFit="1" customWidth="1"/>
    <col min="32" max="32" width="10.7109375" bestFit="1" customWidth="1"/>
    <col min="33" max="34" width="15.7109375" bestFit="1" customWidth="1"/>
    <col min="35" max="36" width="11" bestFit="1" customWidth="1"/>
    <col min="37" max="37" width="11.42578125" bestFit="1" customWidth="1"/>
    <col min="38" max="38" width="10" bestFit="1" customWidth="1"/>
    <col min="39" max="39" width="10.28515625" bestFit="1" customWidth="1"/>
    <col min="40" max="40" width="9.42578125" bestFit="1" customWidth="1"/>
    <col min="41" max="41" width="11.42578125" bestFit="1" customWidth="1"/>
    <col min="42" max="44" width="10.7109375" bestFit="1" customWidth="1"/>
    <col min="45" max="48" width="11.7109375" bestFit="1" customWidth="1"/>
    <col min="49" max="49" width="11.42578125" bestFit="1" customWidth="1"/>
    <col min="50" max="50" width="10.7109375" bestFit="1" customWidth="1"/>
    <col min="51" max="51" width="15.7109375" bestFit="1" customWidth="1"/>
    <col min="52" max="52" width="14" bestFit="1" customWidth="1"/>
    <col min="53" max="53" width="16" bestFit="1" customWidth="1"/>
    <col min="54" max="55" width="14.5703125" bestFit="1" customWidth="1"/>
    <col min="56" max="56" width="14" bestFit="1" customWidth="1"/>
  </cols>
  <sheetData>
    <row r="1" spans="1:56" s="43" customFormat="1" ht="105" x14ac:dyDescent="0.25">
      <c r="A1" s="7" t="s">
        <v>4</v>
      </c>
      <c r="B1" s="7" t="s">
        <v>8</v>
      </c>
      <c r="C1" s="51" t="s">
        <v>222</v>
      </c>
      <c r="D1" s="52" t="s">
        <v>223</v>
      </c>
      <c r="E1" s="8" t="s">
        <v>40</v>
      </c>
      <c r="F1" s="8" t="s">
        <v>9</v>
      </c>
      <c r="G1" s="8" t="s">
        <v>10</v>
      </c>
      <c r="H1" s="7" t="s">
        <v>146</v>
      </c>
      <c r="I1" s="14" t="s">
        <v>224</v>
      </c>
      <c r="J1" s="37" t="s">
        <v>147</v>
      </c>
      <c r="K1" s="38" t="s">
        <v>148</v>
      </c>
      <c r="L1" s="38" t="s">
        <v>149</v>
      </c>
      <c r="M1" s="7" t="s">
        <v>150</v>
      </c>
      <c r="N1" s="7" t="s">
        <v>151</v>
      </c>
      <c r="O1" s="39" t="s">
        <v>152</v>
      </c>
      <c r="P1" s="13" t="s">
        <v>153</v>
      </c>
      <c r="Q1" s="36" t="s">
        <v>154</v>
      </c>
      <c r="R1" s="37" t="s">
        <v>155</v>
      </c>
      <c r="S1" s="37" t="s">
        <v>156</v>
      </c>
      <c r="T1" s="7" t="s">
        <v>157</v>
      </c>
      <c r="U1" s="7" t="s">
        <v>158</v>
      </c>
      <c r="V1" s="40" t="s">
        <v>159</v>
      </c>
      <c r="W1" s="40" t="s">
        <v>160</v>
      </c>
      <c r="X1" s="7" t="s">
        <v>161</v>
      </c>
      <c r="Y1" s="7" t="s">
        <v>162</v>
      </c>
      <c r="Z1" s="7" t="s">
        <v>163</v>
      </c>
      <c r="AA1" s="7" t="s">
        <v>164</v>
      </c>
      <c r="AB1" s="41" t="s">
        <v>165</v>
      </c>
      <c r="AC1" s="41" t="s">
        <v>225</v>
      </c>
      <c r="AD1" s="41" t="s">
        <v>226</v>
      </c>
      <c r="AE1" s="41" t="s">
        <v>166</v>
      </c>
      <c r="AF1" s="38" t="s">
        <v>167</v>
      </c>
      <c r="AG1" s="18" t="s">
        <v>168</v>
      </c>
      <c r="AH1" s="41" t="s">
        <v>227</v>
      </c>
      <c r="AI1" s="18" t="s">
        <v>228</v>
      </c>
      <c r="AJ1" s="41" t="s">
        <v>169</v>
      </c>
      <c r="AK1" s="35" t="s">
        <v>170</v>
      </c>
      <c r="AL1" s="35" t="s">
        <v>229</v>
      </c>
      <c r="AM1" s="35" t="s">
        <v>230</v>
      </c>
      <c r="AN1" s="35" t="s">
        <v>171</v>
      </c>
      <c r="AO1" s="41" t="s">
        <v>172</v>
      </c>
      <c r="AP1" s="41" t="s">
        <v>231</v>
      </c>
      <c r="AQ1" s="41" t="s">
        <v>232</v>
      </c>
      <c r="AR1" s="41" t="s">
        <v>173</v>
      </c>
      <c r="AS1" s="42" t="s">
        <v>174</v>
      </c>
      <c r="AT1" s="42" t="s">
        <v>233</v>
      </c>
      <c r="AU1" s="42" t="s">
        <v>234</v>
      </c>
      <c r="AV1" s="42" t="s">
        <v>175</v>
      </c>
      <c r="AW1" s="35" t="s">
        <v>176</v>
      </c>
      <c r="AX1" s="35" t="s">
        <v>235</v>
      </c>
      <c r="AY1" s="35" t="s">
        <v>236</v>
      </c>
      <c r="AZ1" s="35" t="s">
        <v>177</v>
      </c>
      <c r="BA1" s="7" t="s">
        <v>7</v>
      </c>
      <c r="BB1" s="7" t="s">
        <v>136</v>
      </c>
      <c r="BC1" s="7" t="s">
        <v>178</v>
      </c>
      <c r="BD1" s="7" t="s">
        <v>67</v>
      </c>
    </row>
    <row r="2" spans="1:56" x14ac:dyDescent="0.25">
      <c r="A2" t="s">
        <v>47</v>
      </c>
      <c r="B2" t="s">
        <v>179</v>
      </c>
      <c r="C2" t="b">
        <v>1</v>
      </c>
      <c r="D2">
        <v>0.14399999999999999</v>
      </c>
      <c r="E2" s="6">
        <v>365</v>
      </c>
      <c r="F2" s="6">
        <v>750</v>
      </c>
      <c r="G2" s="6">
        <v>1E-10</v>
      </c>
      <c r="H2">
        <v>10</v>
      </c>
      <c r="I2" s="4" t="s">
        <v>42</v>
      </c>
      <c r="J2" t="s">
        <v>238</v>
      </c>
      <c r="K2">
        <v>0.7</v>
      </c>
      <c r="L2" t="s">
        <v>241</v>
      </c>
      <c r="M2">
        <v>0.35</v>
      </c>
      <c r="N2" t="s">
        <v>180</v>
      </c>
      <c r="O2" t="s">
        <v>184</v>
      </c>
      <c r="P2" s="4" t="s">
        <v>181</v>
      </c>
      <c r="Q2" s="4" t="s">
        <v>68</v>
      </c>
      <c r="R2">
        <v>0.9</v>
      </c>
      <c r="S2">
        <v>0.05</v>
      </c>
      <c r="T2">
        <v>0.4</v>
      </c>
      <c r="U2">
        <v>0.6</v>
      </c>
      <c r="V2">
        <f>24*21</f>
        <v>504</v>
      </c>
      <c r="W2">
        <f>24*7*6</f>
        <v>1008</v>
      </c>
      <c r="X2">
        <v>300</v>
      </c>
      <c r="Y2">
        <v>500</v>
      </c>
      <c r="Z2">
        <f t="shared" ref="Z2" si="0">60*15</f>
        <v>900</v>
      </c>
      <c r="AA2">
        <f t="shared" ref="AA2" si="1">ROUND(150*600/14.7,0)</f>
        <v>6122</v>
      </c>
      <c r="AB2" s="20">
        <v>1</v>
      </c>
      <c r="AC2" s="20">
        <v>0</v>
      </c>
      <c r="AD2" s="20">
        <v>4380</v>
      </c>
      <c r="AE2" s="20">
        <v>0.21634999999999999</v>
      </c>
      <c r="AF2" t="b">
        <v>1</v>
      </c>
      <c r="AG2" s="20">
        <v>1</v>
      </c>
      <c r="AH2" s="20">
        <v>0</v>
      </c>
      <c r="AI2" s="20">
        <v>4380</v>
      </c>
      <c r="AJ2" s="20">
        <v>8.3141000000000007E-2</v>
      </c>
      <c r="AK2" s="19">
        <v>1</v>
      </c>
      <c r="AL2" s="19">
        <v>0</v>
      </c>
      <c r="AM2" s="19">
        <v>4380</v>
      </c>
      <c r="AN2" s="19">
        <v>0.47815999999999997</v>
      </c>
      <c r="AO2" s="20">
        <v>1</v>
      </c>
      <c r="AP2" s="20">
        <v>0</v>
      </c>
      <c r="AQ2" s="20">
        <v>2920</v>
      </c>
      <c r="AR2" s="20">
        <v>2.6738E-3</v>
      </c>
      <c r="AS2" s="44">
        <v>1</v>
      </c>
      <c r="AT2" s="44">
        <v>0</v>
      </c>
      <c r="AU2" s="44">
        <v>4380</v>
      </c>
      <c r="AV2" s="44">
        <v>0.11268</v>
      </c>
      <c r="AW2" s="19">
        <v>1</v>
      </c>
      <c r="AX2" s="19">
        <v>0</v>
      </c>
      <c r="AY2" s="19">
        <v>2920</v>
      </c>
      <c r="AZ2" s="19">
        <v>2.7855000000000002E-3</v>
      </c>
      <c r="BA2" t="s">
        <v>182</v>
      </c>
      <c r="BB2" t="s">
        <v>106</v>
      </c>
      <c r="BC2" t="s">
        <v>106</v>
      </c>
      <c r="BD2" t="s">
        <v>183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4290-2460-4C37-84AA-1F2DBF51FDF7}">
  <dimension ref="A1:AG3"/>
  <sheetViews>
    <sheetView workbookViewId="0">
      <selection activeCell="F12" sqref="F12"/>
    </sheetView>
  </sheetViews>
  <sheetFormatPr defaultRowHeight="15" x14ac:dyDescent="0.25"/>
  <cols>
    <col min="1" max="1" width="11.140625" bestFit="1" customWidth="1"/>
    <col min="2" max="2" width="15.5703125" bestFit="1" customWidth="1"/>
    <col min="3" max="3" width="18.7109375" bestFit="1" customWidth="1"/>
    <col min="4" max="4" width="8.28515625" bestFit="1" customWidth="1"/>
    <col min="5" max="5" width="15.7109375" bestFit="1" customWidth="1"/>
    <col min="6" max="6" width="13.7109375" customWidth="1"/>
    <col min="7" max="9" width="11.5703125" customWidth="1"/>
    <col min="10" max="10" width="8" bestFit="1" customWidth="1"/>
    <col min="11" max="11" width="8.28515625" bestFit="1" customWidth="1"/>
    <col min="12" max="12" width="8.28515625" customWidth="1"/>
    <col min="13" max="14" width="6.28515625" bestFit="1" customWidth="1"/>
    <col min="15" max="15" width="8" bestFit="1" customWidth="1"/>
    <col min="16" max="17" width="7.28515625" bestFit="1" customWidth="1"/>
    <col min="18" max="18" width="8" bestFit="1" customWidth="1"/>
    <col min="19" max="24" width="8" customWidth="1"/>
    <col min="25" max="30" width="13" customWidth="1"/>
    <col min="31" max="31" width="63.7109375" bestFit="1" customWidth="1"/>
    <col min="32" max="32" width="14" bestFit="1" customWidth="1"/>
  </cols>
  <sheetData>
    <row r="1" spans="1:33" s="2" customFormat="1" ht="120" x14ac:dyDescent="0.25">
      <c r="A1" s="7" t="s">
        <v>4</v>
      </c>
      <c r="B1" s="7" t="s">
        <v>7</v>
      </c>
      <c r="C1" s="7" t="s">
        <v>8</v>
      </c>
      <c r="D1" s="7" t="s">
        <v>212</v>
      </c>
      <c r="E1" s="7" t="s">
        <v>90</v>
      </c>
      <c r="F1" s="22" t="s">
        <v>91</v>
      </c>
      <c r="G1" s="23" t="s">
        <v>9</v>
      </c>
      <c r="H1" s="8" t="s">
        <v>40</v>
      </c>
      <c r="I1" s="8" t="s">
        <v>10</v>
      </c>
      <c r="J1" s="24" t="s">
        <v>76</v>
      </c>
      <c r="K1" s="24" t="s">
        <v>77</v>
      </c>
      <c r="L1" s="24" t="s">
        <v>194</v>
      </c>
      <c r="M1" s="25" t="s">
        <v>78</v>
      </c>
      <c r="N1" s="25" t="s">
        <v>79</v>
      </c>
      <c r="O1" s="25" t="s">
        <v>80</v>
      </c>
      <c r="P1" s="26" t="s">
        <v>81</v>
      </c>
      <c r="Q1" s="26" t="s">
        <v>82</v>
      </c>
      <c r="R1" s="26" t="s">
        <v>83</v>
      </c>
      <c r="S1" s="25" t="s">
        <v>188</v>
      </c>
      <c r="T1" s="25" t="s">
        <v>189</v>
      </c>
      <c r="U1" s="25" t="s">
        <v>190</v>
      </c>
      <c r="V1" s="26" t="s">
        <v>191</v>
      </c>
      <c r="W1" s="26" t="s">
        <v>192</v>
      </c>
      <c r="X1" s="26" t="s">
        <v>193</v>
      </c>
      <c r="Y1" s="27" t="s">
        <v>216</v>
      </c>
      <c r="Z1" s="27" t="s">
        <v>217</v>
      </c>
      <c r="AA1" s="27" t="s">
        <v>218</v>
      </c>
      <c r="AB1" s="27" t="s">
        <v>213</v>
      </c>
      <c r="AC1" s="27" t="s">
        <v>219</v>
      </c>
      <c r="AD1" s="27" t="s">
        <v>214</v>
      </c>
      <c r="AE1" s="49" t="s">
        <v>220</v>
      </c>
      <c r="AF1" s="7" t="s">
        <v>136</v>
      </c>
      <c r="AG1" s="7" t="s">
        <v>67</v>
      </c>
    </row>
    <row r="2" spans="1:33" x14ac:dyDescent="0.25">
      <c r="A2" t="s">
        <v>47</v>
      </c>
      <c r="B2" t="s">
        <v>84</v>
      </c>
      <c r="C2" s="28" t="s">
        <v>85</v>
      </c>
      <c r="D2" s="4" t="s">
        <v>86</v>
      </c>
      <c r="E2" t="s">
        <v>87</v>
      </c>
      <c r="F2" t="s">
        <v>37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t="b">
        <v>1</v>
      </c>
      <c r="M2" s="29">
        <v>0</v>
      </c>
      <c r="N2" s="29">
        <v>365</v>
      </c>
      <c r="O2" s="29">
        <v>0.34166999999999997</v>
      </c>
      <c r="P2" s="30">
        <v>0</v>
      </c>
      <c r="Q2" s="30">
        <v>365</v>
      </c>
      <c r="R2" s="30">
        <v>0.14960999999999999</v>
      </c>
      <c r="S2" s="29">
        <v>3</v>
      </c>
      <c r="T2" s="29">
        <v>7</v>
      </c>
      <c r="U2" s="29">
        <v>0.34166999999999997</v>
      </c>
      <c r="V2" s="30">
        <v>7</v>
      </c>
      <c r="W2" s="30">
        <v>7</v>
      </c>
      <c r="X2" s="30">
        <v>0.14960999999999999</v>
      </c>
      <c r="Y2" s="31">
        <v>1</v>
      </c>
      <c r="Z2" s="31">
        <v>2</v>
      </c>
      <c r="AA2" s="31">
        <v>0.5</v>
      </c>
      <c r="AB2" s="32">
        <v>3000</v>
      </c>
      <c r="AC2" s="32">
        <v>6000</v>
      </c>
      <c r="AD2" s="32">
        <v>5000</v>
      </c>
      <c r="AE2" s="50" t="b">
        <v>0</v>
      </c>
      <c r="AF2" t="s">
        <v>140</v>
      </c>
      <c r="AG2" t="s">
        <v>221</v>
      </c>
    </row>
    <row r="3" spans="1:33" x14ac:dyDescent="0.25">
      <c r="A3" t="s">
        <v>47</v>
      </c>
      <c r="B3" t="s">
        <v>84</v>
      </c>
      <c r="C3" s="28" t="s">
        <v>88</v>
      </c>
      <c r="D3" s="4" t="s">
        <v>86</v>
      </c>
      <c r="E3" t="s">
        <v>89</v>
      </c>
      <c r="F3" t="s">
        <v>29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t="b">
        <v>1</v>
      </c>
      <c r="M3" s="29">
        <v>0</v>
      </c>
      <c r="N3" s="29">
        <v>365</v>
      </c>
      <c r="O3" s="29">
        <v>0.34166999999999997</v>
      </c>
      <c r="P3" s="30">
        <v>0</v>
      </c>
      <c r="Q3" s="30">
        <v>365</v>
      </c>
      <c r="R3" s="30">
        <v>0.14960999999999999</v>
      </c>
      <c r="S3" s="29">
        <v>3</v>
      </c>
      <c r="T3" s="29">
        <v>7</v>
      </c>
      <c r="U3" s="29">
        <v>0.34166999999999997</v>
      </c>
      <c r="V3" s="30">
        <v>7</v>
      </c>
      <c r="W3" s="30">
        <v>7</v>
      </c>
      <c r="X3" s="30">
        <v>0.14960999999999999</v>
      </c>
      <c r="Y3" s="31">
        <v>1</v>
      </c>
      <c r="Z3" s="31">
        <v>2</v>
      </c>
      <c r="AA3" s="31">
        <v>0.5</v>
      </c>
      <c r="AB3" s="32">
        <v>3000</v>
      </c>
      <c r="AC3" s="32">
        <v>6000</v>
      </c>
      <c r="AD3" s="32">
        <v>5000</v>
      </c>
      <c r="AE3" s="50" t="b">
        <v>0</v>
      </c>
      <c r="AF3" t="s">
        <v>141</v>
      </c>
      <c r="AG3" t="s">
        <v>221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659F-EBB3-407C-AE55-FCBF01FB0933}">
  <dimension ref="A1:S2"/>
  <sheetViews>
    <sheetView topLeftCell="E1" workbookViewId="0">
      <selection activeCell="N18" sqref="N18"/>
    </sheetView>
  </sheetViews>
  <sheetFormatPr defaultRowHeight="15" x14ac:dyDescent="0.25"/>
  <cols>
    <col min="1" max="1" width="11.42578125" bestFit="1" customWidth="1"/>
    <col min="2" max="2" width="7.140625" bestFit="1" customWidth="1"/>
    <col min="3" max="5" width="13.42578125" customWidth="1"/>
    <col min="6" max="16" width="14.28515625" customWidth="1"/>
    <col min="17" max="17" width="9.7109375" bestFit="1" customWidth="1"/>
    <col min="18" max="18" width="63.7109375" bestFit="1" customWidth="1"/>
    <col min="19" max="19" width="13.42578125" bestFit="1" customWidth="1"/>
  </cols>
  <sheetData>
    <row r="1" spans="1:19" s="10" customFormat="1" ht="60" x14ac:dyDescent="0.25">
      <c r="A1" s="7" t="s">
        <v>4</v>
      </c>
      <c r="B1" s="7" t="s">
        <v>8</v>
      </c>
      <c r="C1" s="8" t="s">
        <v>9</v>
      </c>
      <c r="D1" s="8" t="s">
        <v>40</v>
      </c>
      <c r="E1" s="8" t="s">
        <v>10</v>
      </c>
      <c r="F1" s="33" t="s">
        <v>93</v>
      </c>
      <c r="G1" s="33" t="s">
        <v>94</v>
      </c>
      <c r="H1" s="33" t="s">
        <v>95</v>
      </c>
      <c r="I1" s="33" t="s">
        <v>96</v>
      </c>
      <c r="J1" s="14" t="s">
        <v>97</v>
      </c>
      <c r="K1" s="14" t="s">
        <v>98</v>
      </c>
      <c r="L1" s="14" t="s">
        <v>99</v>
      </c>
      <c r="M1" s="14" t="s">
        <v>100</v>
      </c>
      <c r="N1" s="35" t="s">
        <v>101</v>
      </c>
      <c r="O1" s="35" t="s">
        <v>102</v>
      </c>
      <c r="P1" s="35" t="s">
        <v>103</v>
      </c>
      <c r="Q1" s="7" t="s">
        <v>7</v>
      </c>
      <c r="R1" s="7" t="s">
        <v>136</v>
      </c>
      <c r="S1" s="11" t="s">
        <v>67</v>
      </c>
    </row>
    <row r="2" spans="1:19" x14ac:dyDescent="0.25">
      <c r="A2" t="s">
        <v>47</v>
      </c>
      <c r="B2" t="s">
        <v>104</v>
      </c>
      <c r="C2" s="6">
        <v>0</v>
      </c>
      <c r="D2" s="6">
        <v>365</v>
      </c>
      <c r="E2" s="6">
        <v>1E-4</v>
      </c>
      <c r="F2" s="34">
        <v>0.75</v>
      </c>
      <c r="G2" s="34">
        <v>1</v>
      </c>
      <c r="H2" s="34">
        <v>1</v>
      </c>
      <c r="I2" s="34">
        <v>0.9</v>
      </c>
      <c r="J2" s="12">
        <v>0.25</v>
      </c>
      <c r="K2" s="12">
        <v>2</v>
      </c>
      <c r="L2" s="12">
        <v>2</v>
      </c>
      <c r="M2" s="12">
        <v>0</v>
      </c>
      <c r="N2" s="19">
        <v>10</v>
      </c>
      <c r="O2" s="19">
        <v>10</v>
      </c>
      <c r="P2" s="19">
        <v>0.98</v>
      </c>
      <c r="Q2" t="s">
        <v>105</v>
      </c>
      <c r="R2" t="s">
        <v>141</v>
      </c>
      <c r="S2" t="s">
        <v>144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2"/>
  <sheetViews>
    <sheetView workbookViewId="0">
      <selection activeCell="D12" sqref="D12"/>
    </sheetView>
  </sheetViews>
  <sheetFormatPr defaultRowHeight="15" x14ac:dyDescent="0.25"/>
  <cols>
    <col min="1" max="1" width="11.42578125" bestFit="1" customWidth="1"/>
    <col min="2" max="2" width="25.5703125" bestFit="1" customWidth="1"/>
    <col min="3" max="3" width="10.5703125" bestFit="1" customWidth="1"/>
  </cols>
  <sheetData>
    <row r="1" spans="1:3" x14ac:dyDescent="0.25">
      <c r="A1" s="11" t="s">
        <v>4</v>
      </c>
      <c r="B1" s="11" t="s">
        <v>8</v>
      </c>
      <c r="C1" s="11" t="s">
        <v>7</v>
      </c>
    </row>
    <row r="2" spans="1:3" x14ac:dyDescent="0.25">
      <c r="A2" t="s">
        <v>47</v>
      </c>
      <c r="B2" t="s">
        <v>242</v>
      </c>
      <c r="C2" t="s">
        <v>50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77DFF-3548-4164-9CF8-ECF389854025}">
  <dimension ref="A1:G26"/>
  <sheetViews>
    <sheetView workbookViewId="0">
      <selection activeCell="C17" sqref="C17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4" spans="1:7" x14ac:dyDescent="0.25">
      <c r="A4" t="s">
        <v>30</v>
      </c>
      <c r="B4" t="s">
        <v>47</v>
      </c>
      <c r="C4" t="s">
        <v>107</v>
      </c>
      <c r="D4" t="s">
        <v>47</v>
      </c>
      <c r="E4" t="s">
        <v>48</v>
      </c>
      <c r="F4" t="s">
        <v>29</v>
      </c>
    </row>
    <row r="5" spans="1:7" x14ac:dyDescent="0.25">
      <c r="A5" t="s">
        <v>30</v>
      </c>
      <c r="B5" t="s">
        <v>47</v>
      </c>
      <c r="C5" t="s">
        <v>107</v>
      </c>
      <c r="D5" t="s">
        <v>47</v>
      </c>
      <c r="E5" t="s">
        <v>48</v>
      </c>
      <c r="F5" t="s">
        <v>37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69</v>
      </c>
      <c r="F7" s="21" t="s">
        <v>29</v>
      </c>
      <c r="G7" s="21" t="s">
        <v>71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69</v>
      </c>
      <c r="F8" s="21" t="s">
        <v>37</v>
      </c>
      <c r="G8" s="21" t="s">
        <v>72</v>
      </c>
    </row>
    <row r="9" spans="1:7" x14ac:dyDescent="0.25">
      <c r="A9" s="21" t="s">
        <v>30</v>
      </c>
      <c r="B9" s="21" t="s">
        <v>47</v>
      </c>
      <c r="C9" s="21" t="s">
        <v>48</v>
      </c>
      <c r="D9" s="21" t="s">
        <v>47</v>
      </c>
      <c r="E9" s="21" t="s">
        <v>69</v>
      </c>
      <c r="F9" s="21" t="s">
        <v>51</v>
      </c>
      <c r="G9" s="21" t="s">
        <v>74</v>
      </c>
    </row>
    <row r="10" spans="1:7" x14ac:dyDescent="0.25">
      <c r="A10" s="21" t="s">
        <v>30</v>
      </c>
      <c r="B10" s="21" t="s">
        <v>47</v>
      </c>
      <c r="C10" s="21" t="s">
        <v>48</v>
      </c>
      <c r="D10" s="21" t="s">
        <v>47</v>
      </c>
      <c r="E10" s="21" t="s">
        <v>69</v>
      </c>
      <c r="F10" s="21" t="s">
        <v>51</v>
      </c>
      <c r="G10" s="21" t="s">
        <v>75</v>
      </c>
    </row>
    <row r="12" spans="1:7" x14ac:dyDescent="0.25">
      <c r="A12" s="21" t="s">
        <v>30</v>
      </c>
      <c r="B12" s="21" t="s">
        <v>47</v>
      </c>
      <c r="C12" s="21" t="s">
        <v>69</v>
      </c>
      <c r="D12" s="21" t="s">
        <v>47</v>
      </c>
      <c r="E12" s="21" t="s">
        <v>85</v>
      </c>
      <c r="F12" s="21" t="s">
        <v>37</v>
      </c>
      <c r="G12" s="21" t="s">
        <v>72</v>
      </c>
    </row>
    <row r="14" spans="1:7" x14ac:dyDescent="0.25">
      <c r="A14" s="21" t="s">
        <v>30</v>
      </c>
      <c r="B14" s="21" t="s">
        <v>47</v>
      </c>
      <c r="C14" s="21" t="s">
        <v>69</v>
      </c>
      <c r="D14" s="21" t="s">
        <v>47</v>
      </c>
      <c r="E14" s="21" t="s">
        <v>185</v>
      </c>
      <c r="F14" s="21" t="s">
        <v>29</v>
      </c>
      <c r="G14" s="21" t="s">
        <v>71</v>
      </c>
    </row>
    <row r="15" spans="1:7" x14ac:dyDescent="0.25">
      <c r="A15" s="21" t="s">
        <v>30</v>
      </c>
      <c r="B15" s="21" t="s">
        <v>47</v>
      </c>
      <c r="C15" s="21" t="s">
        <v>69</v>
      </c>
      <c r="D15" s="21" t="s">
        <v>47</v>
      </c>
      <c r="E15" s="21" t="s">
        <v>185</v>
      </c>
      <c r="F15" s="21" t="s">
        <v>51</v>
      </c>
      <c r="G15" s="21" t="s">
        <v>73</v>
      </c>
    </row>
    <row r="16" spans="1:7" x14ac:dyDescent="0.25">
      <c r="A16" s="21" t="s">
        <v>30</v>
      </c>
      <c r="B16" s="21" t="s">
        <v>47</v>
      </c>
      <c r="C16" s="21" t="s">
        <v>69</v>
      </c>
      <c r="D16" s="21" t="s">
        <v>47</v>
      </c>
      <c r="E16" s="21" t="s">
        <v>185</v>
      </c>
      <c r="F16" s="21" t="s">
        <v>51</v>
      </c>
      <c r="G16" s="21" t="s">
        <v>74</v>
      </c>
    </row>
    <row r="17" spans="1:7" x14ac:dyDescent="0.25">
      <c r="A17" s="21" t="s">
        <v>30</v>
      </c>
      <c r="B17" s="21" t="s">
        <v>47</v>
      </c>
      <c r="C17" s="21" t="s">
        <v>69</v>
      </c>
      <c r="D17" s="21" t="s">
        <v>47</v>
      </c>
      <c r="E17" s="21" t="s">
        <v>185</v>
      </c>
      <c r="F17" s="21" t="s">
        <v>51</v>
      </c>
      <c r="G17" s="21" t="s">
        <v>75</v>
      </c>
    </row>
    <row r="20" spans="1:7" x14ac:dyDescent="0.25">
      <c r="A20" s="21" t="s">
        <v>30</v>
      </c>
      <c r="B20" s="21" t="s">
        <v>47</v>
      </c>
      <c r="C20" s="21" t="s">
        <v>185</v>
      </c>
      <c r="D20" s="21" t="s">
        <v>47</v>
      </c>
      <c r="E20" s="21" t="s">
        <v>88</v>
      </c>
      <c r="F20" s="21" t="s">
        <v>29</v>
      </c>
      <c r="G20" s="21" t="s">
        <v>71</v>
      </c>
    </row>
    <row r="21" spans="1:7" x14ac:dyDescent="0.25">
      <c r="A21" s="21" t="s">
        <v>30</v>
      </c>
      <c r="B21" s="21" t="s">
        <v>47</v>
      </c>
      <c r="C21" s="21" t="s">
        <v>185</v>
      </c>
      <c r="D21" s="21" t="s">
        <v>47</v>
      </c>
      <c r="E21" s="21" t="s">
        <v>88</v>
      </c>
      <c r="F21" s="21" t="s">
        <v>51</v>
      </c>
      <c r="G21" s="21" t="s">
        <v>73</v>
      </c>
    </row>
    <row r="22" spans="1:7" x14ac:dyDescent="0.25">
      <c r="A22" s="21" t="s">
        <v>30</v>
      </c>
      <c r="B22" s="21" t="s">
        <v>47</v>
      </c>
      <c r="C22" s="21" t="s">
        <v>185</v>
      </c>
      <c r="D22" s="21" t="s">
        <v>47</v>
      </c>
      <c r="E22" s="21" t="s">
        <v>88</v>
      </c>
      <c r="F22" s="21" t="s">
        <v>51</v>
      </c>
      <c r="G22" s="21" t="s">
        <v>74</v>
      </c>
    </row>
    <row r="24" spans="1:7" x14ac:dyDescent="0.25">
      <c r="A24" s="48" t="s">
        <v>30</v>
      </c>
      <c r="B24" s="48" t="s">
        <v>47</v>
      </c>
      <c r="C24" s="48" t="s">
        <v>69</v>
      </c>
      <c r="D24" s="48" t="s">
        <v>47</v>
      </c>
      <c r="E24" s="48" t="s">
        <v>208</v>
      </c>
      <c r="F24" s="48" t="s">
        <v>51</v>
      </c>
      <c r="G24" s="48" t="s">
        <v>209</v>
      </c>
    </row>
    <row r="25" spans="1:7" x14ac:dyDescent="0.25">
      <c r="A25" s="48" t="s">
        <v>30</v>
      </c>
      <c r="B25" s="48" t="s">
        <v>47</v>
      </c>
      <c r="C25" s="48" t="s">
        <v>69</v>
      </c>
      <c r="D25" s="48" t="s">
        <v>47</v>
      </c>
      <c r="E25" s="48" t="s">
        <v>208</v>
      </c>
      <c r="F25" s="48" t="s">
        <v>51</v>
      </c>
      <c r="G25" s="48" t="s">
        <v>210</v>
      </c>
    </row>
    <row r="26" spans="1:7" x14ac:dyDescent="0.25">
      <c r="A26" s="48" t="s">
        <v>30</v>
      </c>
      <c r="B26" s="48" t="s">
        <v>47</v>
      </c>
      <c r="C26" s="48" t="s">
        <v>69</v>
      </c>
      <c r="D26" s="48" t="s">
        <v>47</v>
      </c>
      <c r="E26" s="48" t="s">
        <v>208</v>
      </c>
      <c r="F26" s="48" t="s">
        <v>51</v>
      </c>
      <c r="G26" s="48" t="s">
        <v>211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20"/>
  <sheetViews>
    <sheetView workbookViewId="0">
      <selection activeCell="K17" sqref="K17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5.5703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5" spans="1:7" x14ac:dyDescent="0.25">
      <c r="A5" s="21" t="s">
        <v>30</v>
      </c>
      <c r="B5" s="21" t="s">
        <v>47</v>
      </c>
      <c r="C5" s="21" t="s">
        <v>48</v>
      </c>
      <c r="D5" s="21" t="s">
        <v>47</v>
      </c>
      <c r="E5" s="21" t="s">
        <v>69</v>
      </c>
      <c r="F5" s="21" t="s">
        <v>29</v>
      </c>
      <c r="G5" s="21" t="s">
        <v>71</v>
      </c>
    </row>
    <row r="6" spans="1:7" x14ac:dyDescent="0.25">
      <c r="A6" s="21" t="s">
        <v>30</v>
      </c>
      <c r="B6" s="21" t="s">
        <v>47</v>
      </c>
      <c r="C6" s="21" t="s">
        <v>48</v>
      </c>
      <c r="D6" s="21" t="s">
        <v>47</v>
      </c>
      <c r="E6" s="21" t="s">
        <v>69</v>
      </c>
      <c r="F6" s="21" t="s">
        <v>37</v>
      </c>
      <c r="G6" s="21" t="s">
        <v>72</v>
      </c>
    </row>
    <row r="7" spans="1:7" x14ac:dyDescent="0.25">
      <c r="A7" s="21" t="s">
        <v>30</v>
      </c>
      <c r="B7" s="21" t="s">
        <v>47</v>
      </c>
      <c r="C7" s="21" t="s">
        <v>48</v>
      </c>
      <c r="D7" s="21" t="s">
        <v>47</v>
      </c>
      <c r="E7" s="21" t="s">
        <v>69</v>
      </c>
      <c r="F7" s="21" t="s">
        <v>51</v>
      </c>
      <c r="G7" s="21" t="s">
        <v>74</v>
      </c>
    </row>
    <row r="8" spans="1:7" x14ac:dyDescent="0.25">
      <c r="A8" s="21" t="s">
        <v>30</v>
      </c>
      <c r="B8" s="21" t="s">
        <v>47</v>
      </c>
      <c r="C8" s="21" t="s">
        <v>48</v>
      </c>
      <c r="D8" s="21" t="s">
        <v>47</v>
      </c>
      <c r="E8" s="21" t="s">
        <v>69</v>
      </c>
      <c r="F8" s="21" t="s">
        <v>51</v>
      </c>
      <c r="G8" s="21" t="s">
        <v>75</v>
      </c>
    </row>
    <row r="10" spans="1:7" x14ac:dyDescent="0.25">
      <c r="A10" s="21" t="s">
        <v>30</v>
      </c>
      <c r="B10" s="21" t="s">
        <v>47</v>
      </c>
      <c r="C10" s="21" t="s">
        <v>69</v>
      </c>
      <c r="D10" s="21" t="s">
        <v>47</v>
      </c>
      <c r="E10" s="21" t="s">
        <v>85</v>
      </c>
      <c r="F10" s="21" t="s">
        <v>37</v>
      </c>
      <c r="G10" s="21" t="s">
        <v>72</v>
      </c>
    </row>
    <row r="12" spans="1:7" x14ac:dyDescent="0.25">
      <c r="A12" s="21" t="s">
        <v>30</v>
      </c>
      <c r="B12" s="21" t="s">
        <v>47</v>
      </c>
      <c r="C12" s="21" t="s">
        <v>69</v>
      </c>
      <c r="D12" s="21" t="s">
        <v>47</v>
      </c>
      <c r="E12" s="21" t="s">
        <v>88</v>
      </c>
      <c r="F12" s="21" t="s">
        <v>29</v>
      </c>
      <c r="G12" s="21" t="s">
        <v>71</v>
      </c>
    </row>
    <row r="13" spans="1:7" x14ac:dyDescent="0.25">
      <c r="A13" s="21" t="s">
        <v>30</v>
      </c>
      <c r="B13" s="21" t="s">
        <v>47</v>
      </c>
      <c r="C13" s="21" t="s">
        <v>69</v>
      </c>
      <c r="D13" s="21" t="s">
        <v>47</v>
      </c>
      <c r="E13" s="21" t="s">
        <v>88</v>
      </c>
      <c r="F13" s="21" t="s">
        <v>51</v>
      </c>
      <c r="G13" s="21" t="s">
        <v>73</v>
      </c>
    </row>
    <row r="14" spans="1:7" x14ac:dyDescent="0.25">
      <c r="A14" s="21" t="s">
        <v>30</v>
      </c>
      <c r="B14" s="21" t="s">
        <v>47</v>
      </c>
      <c r="C14" s="21" t="s">
        <v>69</v>
      </c>
      <c r="D14" s="21" t="s">
        <v>47</v>
      </c>
      <c r="E14" s="21" t="s">
        <v>88</v>
      </c>
      <c r="F14" s="21" t="s">
        <v>51</v>
      </c>
      <c r="G14" s="21" t="s">
        <v>74</v>
      </c>
    </row>
    <row r="16" spans="1:7" x14ac:dyDescent="0.25">
      <c r="A16" s="21" t="s">
        <v>30</v>
      </c>
      <c r="B16" s="21" t="s">
        <v>47</v>
      </c>
      <c r="C16" s="21" t="s">
        <v>69</v>
      </c>
      <c r="D16" s="21" t="s">
        <v>47</v>
      </c>
      <c r="E16" s="21" t="s">
        <v>179</v>
      </c>
      <c r="F16" s="21" t="s">
        <v>51</v>
      </c>
      <c r="G16" s="21" t="s">
        <v>210</v>
      </c>
    </row>
    <row r="17" spans="1:7" x14ac:dyDescent="0.25">
      <c r="A17" s="21" t="s">
        <v>30</v>
      </c>
      <c r="B17" s="21" t="s">
        <v>47</v>
      </c>
      <c r="C17" s="21" t="s">
        <v>69</v>
      </c>
      <c r="D17" s="21" t="s">
        <v>47</v>
      </c>
      <c r="E17" s="21" t="s">
        <v>179</v>
      </c>
      <c r="F17" s="21" t="s">
        <v>51</v>
      </c>
      <c r="G17" s="21" t="s">
        <v>209</v>
      </c>
    </row>
    <row r="18" spans="1:7" x14ac:dyDescent="0.25">
      <c r="A18" s="21" t="s">
        <v>30</v>
      </c>
      <c r="B18" s="21" t="s">
        <v>47</v>
      </c>
      <c r="C18" s="21" t="s">
        <v>69</v>
      </c>
      <c r="D18" s="21" t="s">
        <v>47</v>
      </c>
      <c r="E18" s="21" t="s">
        <v>179</v>
      </c>
      <c r="F18" s="21" t="s">
        <v>51</v>
      </c>
      <c r="G18" s="21" t="s">
        <v>211</v>
      </c>
    </row>
    <row r="20" spans="1:7" x14ac:dyDescent="0.25">
      <c r="A20" s="21" t="s">
        <v>30</v>
      </c>
      <c r="B20" s="21" t="s">
        <v>47</v>
      </c>
      <c r="C20" s="21" t="s">
        <v>179</v>
      </c>
      <c r="D20" s="21" t="s">
        <v>47</v>
      </c>
      <c r="E20" s="21" t="s">
        <v>242</v>
      </c>
      <c r="F20" s="21" t="s">
        <v>51</v>
      </c>
      <c r="G20" s="21" t="s">
        <v>237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30" sqref="D30"/>
    </sheetView>
  </sheetViews>
  <sheetFormatPr defaultRowHeight="15" x14ac:dyDescent="0.25"/>
  <cols>
    <col min="1" max="1" width="19.28515625" bestFit="1" customWidth="1"/>
    <col min="2" max="2" width="13.42578125" bestFit="1" customWidth="1"/>
    <col min="3" max="3" width="11.140625" bestFit="1" customWidth="1"/>
    <col min="4" max="4" width="86" customWidth="1"/>
  </cols>
  <sheetData>
    <row r="1" spans="1:3" x14ac:dyDescent="0.25">
      <c r="A1" t="s">
        <v>7</v>
      </c>
      <c r="B1" t="s">
        <v>32</v>
      </c>
      <c r="C1" t="s">
        <v>33</v>
      </c>
    </row>
    <row r="2" spans="1:3" x14ac:dyDescent="0.25">
      <c r="A2" t="s">
        <v>34</v>
      </c>
      <c r="B2" t="str">
        <f t="shared" ref="B2:B7" si="0">"FFDump"&amp;C2</f>
        <v>FFDump500</v>
      </c>
      <c r="C2">
        <v>500</v>
      </c>
    </row>
    <row r="3" spans="1:3" x14ac:dyDescent="0.25">
      <c r="A3" t="s">
        <v>34</v>
      </c>
      <c r="B3" t="str">
        <f t="shared" si="0"/>
        <v>FFDump600</v>
      </c>
      <c r="C3">
        <v>600</v>
      </c>
    </row>
    <row r="4" spans="1:3" x14ac:dyDescent="0.25">
      <c r="A4" t="s">
        <v>34</v>
      </c>
      <c r="B4" t="str">
        <f t="shared" si="0"/>
        <v>FFDump601</v>
      </c>
      <c r="C4">
        <v>601</v>
      </c>
    </row>
    <row r="5" spans="1:3" x14ac:dyDescent="0.25">
      <c r="A5" t="s">
        <v>34</v>
      </c>
      <c r="B5" t="str">
        <f t="shared" si="0"/>
        <v>FFDump590</v>
      </c>
      <c r="C5">
        <v>590</v>
      </c>
    </row>
    <row r="6" spans="1:3" x14ac:dyDescent="0.25">
      <c r="A6" t="s">
        <v>34</v>
      </c>
      <c r="B6" t="str">
        <f t="shared" si="0"/>
        <v>FFDump18065</v>
      </c>
      <c r="C6">
        <v>18065</v>
      </c>
    </row>
    <row r="7" spans="1:3" x14ac:dyDescent="0.25">
      <c r="A7" t="s">
        <v>34</v>
      </c>
      <c r="B7" t="str">
        <f t="shared" si="0"/>
        <v>FFDump50</v>
      </c>
      <c r="C7">
        <v>50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9"/>
  <sheetViews>
    <sheetView workbookViewId="0">
      <selection activeCell="D13" sqref="D13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240</v>
      </c>
      <c r="B3" t="s">
        <v>240</v>
      </c>
    </row>
    <row r="4" spans="1:2" x14ac:dyDescent="0.25">
      <c r="A4" t="s">
        <v>31</v>
      </c>
      <c r="B4" t="s">
        <v>31</v>
      </c>
    </row>
    <row r="5" spans="1:2" x14ac:dyDescent="0.25">
      <c r="A5" t="s">
        <v>92</v>
      </c>
      <c r="B5" t="s">
        <v>92</v>
      </c>
    </row>
    <row r="6" spans="1:2" x14ac:dyDescent="0.25">
      <c r="A6" t="s">
        <v>19</v>
      </c>
      <c r="B6" t="s">
        <v>19</v>
      </c>
    </row>
    <row r="7" spans="1:2" x14ac:dyDescent="0.25">
      <c r="A7" t="s">
        <v>243</v>
      </c>
      <c r="B7" t="s">
        <v>243</v>
      </c>
    </row>
    <row r="8" spans="1:2" x14ac:dyDescent="0.25">
      <c r="A8" t="s">
        <v>44</v>
      </c>
      <c r="B8" t="s">
        <v>44</v>
      </c>
    </row>
    <row r="9" spans="1:2" x14ac:dyDescent="0.25">
      <c r="A9" t="s">
        <v>22</v>
      </c>
      <c r="B9" t="s">
        <v>22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J37" sqref="J37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39</v>
      </c>
      <c r="B4" t="s">
        <v>39</v>
      </c>
    </row>
    <row r="5" spans="1:2" x14ac:dyDescent="0.25">
      <c r="A5" t="s">
        <v>31</v>
      </c>
      <c r="B5" t="s">
        <v>31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12</v>
      </c>
      <c r="B8" t="s">
        <v>12</v>
      </c>
    </row>
    <row r="9" spans="1:2" x14ac:dyDescent="0.25">
      <c r="A9" t="s">
        <v>13</v>
      </c>
      <c r="B9" t="s">
        <v>13</v>
      </c>
    </row>
    <row r="10" spans="1:2" x14ac:dyDescent="0.25">
      <c r="A10" t="s">
        <v>45</v>
      </c>
      <c r="B10" t="s">
        <v>45</v>
      </c>
    </row>
    <row r="11" spans="1:2" x14ac:dyDescent="0.25">
      <c r="A11" t="s">
        <v>46</v>
      </c>
      <c r="B11" t="s">
        <v>46</v>
      </c>
    </row>
    <row r="12" spans="1:2" x14ac:dyDescent="0.25">
      <c r="A12" t="s">
        <v>20</v>
      </c>
      <c r="B12" t="s">
        <v>20</v>
      </c>
    </row>
    <row r="13" spans="1:2" x14ac:dyDescent="0.25">
      <c r="A13" t="s">
        <v>44</v>
      </c>
      <c r="B13" t="s">
        <v>44</v>
      </c>
    </row>
    <row r="14" spans="1:2" x14ac:dyDescent="0.2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Global Simulation Parameters</vt:lpstr>
      <vt:lpstr>Facilities</vt:lpstr>
      <vt:lpstr>Wells</vt:lpstr>
      <vt:lpstr>CyclingWells</vt:lpstr>
      <vt:lpstr>ContinuousWells</vt:lpstr>
      <vt:lpstr>Separators</vt:lpstr>
      <vt:lpstr>Dehydrators</vt:lpstr>
      <vt:lpstr>Compressors</vt:lpstr>
      <vt:lpstr>TankBattery</vt:lpstr>
      <vt:lpstr>Flares</vt:lpstr>
      <vt:lpstr>Probes</vt:lpstr>
      <vt:lpstr>FFLinks (2)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2025-05-10T01:39:41Z</dcterms:modified>
</cp:coreProperties>
</file>