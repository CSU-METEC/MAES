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METEC\MAES_dev\input\Studies\MEET2\"/>
    </mc:Choice>
  </mc:AlternateContent>
  <xr:revisionPtr revIDLastSave="0" documentId="13_ncr:1_{F7EDFCA7-863B-4C10-AD7F-D6A42648BD38}" xr6:coauthVersionLast="47" xr6:coauthVersionMax="47" xr10:uidLastSave="{00000000-0000-0000-0000-000000000000}"/>
  <bookViews>
    <workbookView xWindow="-25070" yWindow="-110" windowWidth="25180" windowHeight="16140" tabRatio="937" firstSheet="1" activeTab="9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Flares" sheetId="24" r:id="rId9"/>
    <sheet name="TankBattery" sheetId="23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" i="23" l="1"/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<sst xmlns="http://schemas.openxmlformats.org/spreadsheetml/2006/main" count="610" uniqueCount="243">
  <si>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</si>
  <si>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</si>
  <si>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</si>
  <si>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</si>
  <si>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</si>
  <si>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</si>
  <si>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</si>
  <si>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</si>
  <si>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</si>
  <si>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</si>
  <si>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</si>
  <si>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</si>
  <si>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</si>
  <si>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</si>
  <si>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</si>
  <si>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</si>
  <si>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</si>
  <si>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</si>
  <si>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</si>
  <si>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</si>
  <si>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</si>
  <si>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</si>
  <si>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</si>
  <si>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</si>
  <si>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</si>
  <si>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</si>
  <si>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</si>
  <si>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</si>
  <si>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</si>
  <si>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</si>
  <si>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</si>
  <si>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</si>
  <si>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</si>
  <si>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</si>
  <si>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</si>
  <si>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</si>
  <si>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</si>
  <si>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</si>
  <si>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</si>
  <si>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</si>
  <si>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</si>
  <si>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</si>
  <si>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</si>
  <si>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</si>
  <si>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</si>
  <si>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</si>
  <si>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</si>
  <si>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</si>
  <si>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</si>
  <si>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</si>
  <si>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</si>
  <si>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</si>
  <si>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</si>
  <si>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</si>
  <si>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</si>
  <si>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</si>
  <si>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</si>
  <si>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</si>
  <si>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</si>
  <si>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</si>
  <si>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</si>
  <si>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</si>
  <si>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</si>
  <si>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</si>
  <si>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</si>
  <si>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</si>
  <si>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</si>
  <si>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</si>
  <si>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</si>
  <si>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</si>
  <si>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</si>
  <si>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</si>
  <si>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</si>
  <si>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</si>
  <si>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</si>
  <si>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</si>
  <si>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</si>
  <si>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</si>
  <si>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</si>
  <si>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</si>
  <si>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</si>
  <si>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</si>
  <si>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</si>
  <si>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</si>
  <si>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</si>
  <si>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</si>
  <si>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</si>
  <si>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</si>
  <si>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</si>
  <si>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</si>
  <si>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</si>
  <si>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</si>
  <si>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</si>
  <si>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</si>
  <si>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</si>
  <si>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</si>
  <si>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</si>
  <si>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</si>
  <si>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</si>
  <si>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</si>
  <si>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</si>
  <si>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</si>
  <si>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</si>
  <si>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</si>
  <si>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</si>
  <si>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</si>
  <si>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</si>
  <si>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</si>
  <si>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</si>
  <si>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</si>
  <si>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</si>
  <si>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</si>
  <si>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</si>
  <si>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</si>
  <si>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</si>
  <si>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</si>
  <si>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</si>
  <si>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</si>
  <si>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</si>
  <si>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</si>
  <si>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</si>
  <si>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</si>
  <si>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</si>
  <si>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</si>
  <si>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</si>
  <si>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</si>
  <si>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</si>
  <si>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</si>
  <si>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</si>
  <si>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</si>
  <si>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</si>
  <si>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</si>
  <si>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</si>
  <si>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</si>
  <si>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</si>
  <si>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</si>
  <si>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</si>
  <si>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</si>
  <si>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</si>
  <si>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</si>
  <si>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</si>
  <si>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</si>
  <si>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</si>
  <si>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</si>
  <si>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</si>
  <si>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</si>
  <si>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</si>
  <si>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</si>
  <si>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</si>
  <si>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</si>
  <si>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</si>
  <si>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</si>
  <si>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</si>
  <si>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</si>
  <si>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</si>
  <si>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</si>
  <si>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</si>
  <si>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</si>
  <si>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</si>
  <si>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</si>
  <si>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</si>
  <si>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</si>
  <si>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</si>
  <si>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</si>
  <si>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</si>
  <si>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</si>
  <si>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</si>
  <si>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</si>
  <si>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</si>
  <si>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</si>
  <si>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</si>
  <si>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</si>
  <si>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</si>
  <si>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</si>
  <si>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</si>
  <si>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</si>
  <si>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</si>
  <si>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</si>
  <si>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</si>
  <si>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</si>
  <si>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</si>
  <si>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</si>
  <si>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</si>
  <si>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</si>
  <si>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</si>
  <si>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</si>
  <si>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</si>
  <si>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</si>
  <si>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</si>
  <si>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</si>
  <si>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</si>
  <si>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</si>
  <si>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</si>
  <si>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</si>
  <si>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</si>
  <si>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</si>
  <si>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</si>
  <si>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</si>
  <si>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</si>
  <si>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</si>
  <si>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</si>
  <si>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</si>
  <si>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</si>
  <si>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</si>
  <si>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</si>
  <si>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</si>
  <si>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</si>
  <si>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</si>
  <si>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</si>
  <si>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</si>
  <si>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</si>
  <si>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</si>
  <si>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</si>
  <si>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</si>
  <si>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</si>
  <si>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</si>
  <si>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</si>
  <si>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Controlled [True, False]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</si>
  <si>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</si>
  <si>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</si>
  <si>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</si>
  <si>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</si>
  <si>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</si>
  <si>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</si>
  <si>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</si>
  <si>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</si>
  <si>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</si>
  <si>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</si>
  <si>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</si>
  <si>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</si>
  <si>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</si>
  <si>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</si>
  <si>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</si>
  <si>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</si>
  <si>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overload_flow</t>
  </si>
  <si>
    <t>4SRB</t>
  </si>
  <si>
    <t>input/Studies/MEET2/DeltaHGC.csv</t>
  </si>
  <si>
    <t>ContinuousWells</t>
  </si>
  <si>
    <t>Common\EnginesFuelConsumpEq\4SRB\4SRB_95HP_G3304_Caterpillar.csv</t>
  </si>
  <si>
    <t>probe_comp_sdv_overload</t>
  </si>
  <si>
    <t>Probes</t>
  </si>
  <si>
    <t>Overpressure Threshold [scfh]</t>
  </si>
  <si>
    <t>Downstream Tank Mechanistic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</si>
</sst>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186</v>
      </c>
      <c r="B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5" sqref="D25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145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236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workbookViewId="0">
      <selection activeCell="N18" sqref="N18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136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68</v>
      </c>
      <c r="P2" t="s">
        <v>11</v>
      </c>
      <c r="Q2" t="s">
        <v>106</v>
      </c>
      <c r="R2" t="s">
        <v>236</v>
      </c>
      <c r="S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2"/>
  <sheetViews>
    <sheetView topLeftCell="O1" workbookViewId="0">
      <selection activeCell="AK2" sqref="AK2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5" t="s">
        <v>108</v>
      </c>
      <c r="L1" s="35" t="s">
        <v>109</v>
      </c>
      <c r="M1" s="35" t="s">
        <v>110</v>
      </c>
      <c r="N1" s="35" t="s">
        <v>111</v>
      </c>
      <c r="O1" s="35" t="s">
        <v>112</v>
      </c>
      <c r="P1" s="35" t="s">
        <v>113</v>
      </c>
      <c r="Q1" s="35" t="s">
        <v>114</v>
      </c>
      <c r="R1" s="35" t="s">
        <v>115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7" t="s">
        <v>116</v>
      </c>
      <c r="Y1" s="27" t="s">
        <v>117</v>
      </c>
      <c r="Z1" s="27" t="s">
        <v>118</v>
      </c>
      <c r="AA1" s="27" t="s">
        <v>119</v>
      </c>
      <c r="AB1" s="27" t="s">
        <v>120</v>
      </c>
      <c r="AC1" s="27" t="s">
        <v>121</v>
      </c>
      <c r="AD1" s="27" t="s">
        <v>122</v>
      </c>
      <c r="AE1" s="27" t="s">
        <v>123</v>
      </c>
      <c r="AF1" s="27" t="s">
        <v>124</v>
      </c>
      <c r="AG1" s="27" t="s">
        <v>125</v>
      </c>
      <c r="AH1" s="35" t="s">
        <v>126</v>
      </c>
      <c r="AI1" s="7" t="s">
        <v>35</v>
      </c>
      <c r="AJ1" s="7" t="s">
        <v>136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130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1" t="b">
        <v>0</v>
      </c>
      <c r="Y2" s="31">
        <v>2</v>
      </c>
      <c r="Z2" s="31">
        <v>3</v>
      </c>
      <c r="AA2" s="31" t="s">
        <v>127</v>
      </c>
      <c r="AB2" s="31" t="s">
        <v>128</v>
      </c>
      <c r="AC2" s="31">
        <v>2</v>
      </c>
      <c r="AD2" s="31">
        <v>3</v>
      </c>
      <c r="AE2" s="31">
        <v>2</v>
      </c>
      <c r="AF2" s="31">
        <v>3</v>
      </c>
      <c r="AG2" s="31" t="s">
        <v>129</v>
      </c>
      <c r="AH2" s="19" t="s">
        <v>142</v>
      </c>
      <c r="AI2" t="s">
        <v>11</v>
      </c>
      <c r="AJ2" t="s">
        <v>106</v>
      </c>
      <c r="AK2" t="s">
        <v>236</v>
      </c>
      <c r="AL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2"/>
  <sheetViews>
    <sheetView workbookViewId="0">
      <selection activeCell="M20" sqref="M20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54</v>
      </c>
      <c r="J1" s="36" t="s">
        <v>55</v>
      </c>
      <c r="K1" s="7" t="s">
        <v>41</v>
      </c>
      <c r="L1" s="7" t="s">
        <v>131</v>
      </c>
      <c r="M1" s="7" t="s">
        <v>132</v>
      </c>
      <c r="N1" s="7" t="s">
        <v>133</v>
      </c>
      <c r="O1" s="7" t="s">
        <v>35</v>
      </c>
      <c r="P1" s="7" t="s">
        <v>136</v>
      </c>
      <c r="Q1" s="7" t="s">
        <v>43</v>
      </c>
      <c r="R1" s="11" t="s">
        <v>67</v>
      </c>
    </row>
    <row r="2" spans="1:18" x14ac:dyDescent="0.25">
      <c r="A2" t="s">
        <v>47</v>
      </c>
      <c r="B2" t="s">
        <v>134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68</v>
      </c>
      <c r="L2">
        <v>0</v>
      </c>
      <c r="M2">
        <v>1E-4</v>
      </c>
      <c r="N2">
        <v>1</v>
      </c>
      <c r="O2" t="s">
        <v>11</v>
      </c>
      <c r="P2" t="s">
        <v>106</v>
      </c>
      <c r="Q2" t="s">
        <v>236</v>
      </c>
      <c r="R2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"/>
  <sheetViews>
    <sheetView topLeftCell="C1" workbookViewId="0">
      <selection activeCell="H17" sqref="H17"/>
    </sheetView>
  </sheetViews>
  <sheetFormatPr defaultRowHeight="15" x14ac:dyDescent="0.25"/>
  <cols>
    <col min="1" max="1" width="11.140625" bestFit="1" customWidth="1"/>
    <col min="2" max="2" width="9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5" customWidth="1"/>
    <col min="8" max="8" width="10" style="4" bestFit="1" customWidth="1"/>
    <col min="9" max="10" width="7.7109375" bestFit="1" customWidth="1"/>
    <col min="11" max="11" width="7.85546875" customWidth="1"/>
    <col min="12" max="12" width="16.85546875" bestFit="1" customWidth="1"/>
    <col min="13" max="13" width="16.5703125" bestFit="1" customWidth="1"/>
    <col min="14" max="14" width="18.28515625" bestFit="1" customWidth="1"/>
    <col min="15" max="15" width="18.7109375" customWidth="1"/>
    <col min="16" max="16" width="33.85546875" bestFit="1" customWidth="1"/>
    <col min="17" max="17" width="11.28515625" bestFit="1" customWidth="1"/>
    <col min="18" max="18" width="47.140625" bestFit="1" customWidth="1"/>
    <col min="19" max="19" width="16.85546875" bestFit="1" customWidth="1"/>
  </cols>
  <sheetData>
    <row r="1" spans="1:19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14" t="s">
        <v>242</v>
      </c>
      <c r="H1" s="7" t="s">
        <v>41</v>
      </c>
      <c r="I1" s="9" t="s">
        <v>38</v>
      </c>
      <c r="J1" s="15" t="s">
        <v>61</v>
      </c>
      <c r="K1" s="15" t="s">
        <v>62</v>
      </c>
      <c r="L1" s="14" t="s">
        <v>56</v>
      </c>
      <c r="M1" s="14" t="s">
        <v>57</v>
      </c>
      <c r="N1" s="14" t="s">
        <v>58</v>
      </c>
      <c r="O1" s="14" t="s">
        <v>59</v>
      </c>
      <c r="P1" s="14" t="s">
        <v>60</v>
      </c>
      <c r="Q1" s="9" t="s">
        <v>36</v>
      </c>
      <c r="R1" s="7" t="s">
        <v>136</v>
      </c>
      <c r="S1" s="11" t="s">
        <v>67</v>
      </c>
    </row>
    <row r="2" spans="1:19" s="2" customFormat="1" x14ac:dyDescent="0.25">
      <c r="A2" t="s">
        <v>47</v>
      </c>
      <c r="B2" t="s">
        <v>48</v>
      </c>
      <c r="C2" t="s">
        <v>135</v>
      </c>
      <c r="D2" s="6">
        <v>365</v>
      </c>
      <c r="E2" s="6">
        <v>20</v>
      </c>
      <c r="F2" s="6">
        <v>0.02</v>
      </c>
      <c r="G2" s="12" t="b">
        <v>1</v>
      </c>
      <c r="H2" s="4" t="s">
        <v>42</v>
      </c>
      <c r="I2">
        <v>1</v>
      </c>
      <c r="J2" s="16">
        <v>4</v>
      </c>
      <c r="K2" s="16">
        <v>20</v>
      </c>
      <c r="L2" s="12">
        <v>0</v>
      </c>
      <c r="M2" s="12">
        <v>0.5</v>
      </c>
      <c r="N2" s="12">
        <v>5</v>
      </c>
      <c r="O2" s="12">
        <v>10</v>
      </c>
      <c r="P2" s="12">
        <v>0.6</v>
      </c>
      <c r="Q2" t="s">
        <v>52</v>
      </c>
      <c r="R2" t="s">
        <v>138</v>
      </c>
      <c r="S2" s="2" t="s">
        <v>143</v>
      </c>
    </row>
    <row r="3" spans="1:19" s="2" customFormat="1" x14ac:dyDescent="0.25">
      <c r="A3" t="s">
        <v>47</v>
      </c>
      <c r="B3" t="s">
        <v>69</v>
      </c>
      <c r="C3" t="s">
        <v>135</v>
      </c>
      <c r="D3" s="6">
        <v>365</v>
      </c>
      <c r="E3" s="6">
        <v>20</v>
      </c>
      <c r="F3" s="6">
        <v>0.02</v>
      </c>
      <c r="G3" s="12" t="b">
        <v>1</v>
      </c>
      <c r="H3" s="4" t="s">
        <v>42</v>
      </c>
      <c r="I3">
        <v>1</v>
      </c>
      <c r="J3" s="16">
        <v>5</v>
      </c>
      <c r="K3" s="16">
        <v>25</v>
      </c>
      <c r="L3" s="12">
        <v>0</v>
      </c>
      <c r="M3" s="12">
        <v>0.5</v>
      </c>
      <c r="N3" s="12">
        <v>5</v>
      </c>
      <c r="O3" s="12">
        <v>10</v>
      </c>
      <c r="P3" s="12">
        <v>0.6</v>
      </c>
      <c r="Q3" t="s">
        <v>70</v>
      </c>
      <c r="R3" t="s">
        <v>139</v>
      </c>
      <c r="S3" s="2" t="s">
        <v>143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195</v>
      </c>
      <c r="D1" s="45" t="s">
        <v>196</v>
      </c>
      <c r="E1" s="45" t="s">
        <v>197</v>
      </c>
      <c r="F1" s="45" t="s">
        <v>198</v>
      </c>
      <c r="G1" s="45" t="s">
        <v>213</v>
      </c>
      <c r="H1" s="45" t="s">
        <v>199</v>
      </c>
      <c r="I1" s="45" t="s">
        <v>200</v>
      </c>
      <c r="J1" s="45" t="s">
        <v>201</v>
      </c>
      <c r="K1" s="45" t="s">
        <v>202</v>
      </c>
      <c r="L1" s="45" t="s">
        <v>203</v>
      </c>
      <c r="M1" s="45" t="s">
        <v>204</v>
      </c>
      <c r="N1" s="45" t="s">
        <v>7</v>
      </c>
    </row>
    <row r="2" spans="1:14" x14ac:dyDescent="0.25">
      <c r="A2" t="s">
        <v>47</v>
      </c>
      <c r="B2" t="s">
        <v>208</v>
      </c>
      <c r="C2" t="b">
        <v>1</v>
      </c>
      <c r="D2">
        <v>8760</v>
      </c>
      <c r="E2" t="s">
        <v>205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206</v>
      </c>
      <c r="M2">
        <v>0</v>
      </c>
      <c r="N2" t="s">
        <v>207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workbookViewId="0">
      <selection activeCell="J20" sqref="J20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0.85546875" bestFit="1" customWidth="1"/>
    <col min="4" max="4" width="21.7109375" bestFit="1" customWidth="1"/>
    <col min="5" max="7" width="11.42578125" bestFit="1" customWidth="1"/>
    <col min="8" max="8" width="11.5703125" bestFit="1" customWidth="1"/>
    <col min="9" max="9" width="13.42578125" bestFit="1" customWidth="1"/>
    <col min="10" max="10" width="20" bestFit="1" customWidth="1"/>
    <col min="11" max="11" width="11.5703125" bestFit="1" customWidth="1"/>
    <col min="12" max="12" width="60.42578125" bestFit="1" customWidth="1"/>
    <col min="13" max="13" width="16.140625" customWidth="1"/>
    <col min="14" max="14" width="14.7109375" bestFit="1" customWidth="1"/>
    <col min="15" max="15" width="13.7109375" bestFit="1" customWidth="1"/>
    <col min="16" max="16" width="9.85546875" customWidth="1"/>
    <col min="17" max="17" width="13.7109375" customWidth="1"/>
    <col min="18" max="18" width="15.7109375" bestFit="1" customWidth="1"/>
    <col min="19" max="19" width="11.140625" bestFit="1" customWidth="1"/>
    <col min="20" max="20" width="9.85546875" bestFit="1" customWidth="1"/>
    <col min="21" max="21" width="15" bestFit="1" customWidth="1"/>
    <col min="22" max="23" width="13.7109375" bestFit="1" customWidth="1"/>
    <col min="24" max="24" width="12.42578125" bestFit="1" customWidth="1"/>
    <col min="25" max="25" width="13.140625" bestFit="1" customWidth="1"/>
    <col min="26" max="27" width="16" customWidth="1"/>
    <col min="28" max="28" width="15.28515625" bestFit="1" customWidth="1"/>
    <col min="29" max="29" width="15.5703125" bestFit="1" customWidth="1"/>
    <col min="30" max="30" width="15.85546875" bestFit="1" customWidth="1"/>
    <col min="31" max="31" width="15.28515625" bestFit="1" customWidth="1"/>
    <col min="32" max="32" width="10.7109375" bestFit="1" customWidth="1"/>
    <col min="33" max="34" width="15.7109375" bestFit="1" customWidth="1"/>
    <col min="35" max="36" width="11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1.42578125" bestFit="1" customWidth="1"/>
    <col min="42" max="44" width="10.7109375" bestFit="1" customWidth="1"/>
    <col min="45" max="48" width="11.7109375" bestFit="1" customWidth="1"/>
    <col min="49" max="49" width="11.42578125" bestFit="1" customWidth="1"/>
    <col min="50" max="50" width="10.7109375" bestFit="1" customWidth="1"/>
    <col min="51" max="51" width="15.7109375" bestFit="1" customWidth="1"/>
    <col min="52" max="52" width="14" bestFit="1" customWidth="1"/>
    <col min="53" max="53" width="16" bestFit="1" customWidth="1"/>
    <col min="54" max="55" width="14.5703125" bestFit="1" customWidth="1"/>
    <col min="56" max="56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219</v>
      </c>
      <c r="D1" s="52" t="s">
        <v>220</v>
      </c>
      <c r="E1" s="8" t="s">
        <v>40</v>
      </c>
      <c r="F1" s="8" t="s">
        <v>9</v>
      </c>
      <c r="G1" s="8" t="s">
        <v>10</v>
      </c>
      <c r="H1" s="7" t="s">
        <v>146</v>
      </c>
      <c r="I1" s="14" t="s">
        <v>221</v>
      </c>
      <c r="J1" s="37" t="s">
        <v>147</v>
      </c>
      <c r="K1" s="38" t="s">
        <v>148</v>
      </c>
      <c r="L1" s="38" t="s">
        <v>149</v>
      </c>
      <c r="M1" s="7" t="s">
        <v>150</v>
      </c>
      <c r="N1" s="7" t="s">
        <v>151</v>
      </c>
      <c r="O1" s="39" t="s">
        <v>152</v>
      </c>
      <c r="P1" s="13" t="s">
        <v>153</v>
      </c>
      <c r="Q1" s="36" t="s">
        <v>154</v>
      </c>
      <c r="R1" s="37" t="s">
        <v>155</v>
      </c>
      <c r="S1" s="37" t="s">
        <v>156</v>
      </c>
      <c r="T1" s="7" t="s">
        <v>157</v>
      </c>
      <c r="U1" s="7" t="s">
        <v>158</v>
      </c>
      <c r="V1" s="40" t="s">
        <v>159</v>
      </c>
      <c r="W1" s="40" t="s">
        <v>160</v>
      </c>
      <c r="X1" s="7" t="s">
        <v>161</v>
      </c>
      <c r="Y1" s="7" t="s">
        <v>162</v>
      </c>
      <c r="Z1" s="7" t="s">
        <v>163</v>
      </c>
      <c r="AA1" s="7" t="s">
        <v>164</v>
      </c>
      <c r="AB1" s="41" t="s">
        <v>165</v>
      </c>
      <c r="AC1" s="41" t="s">
        <v>222</v>
      </c>
      <c r="AD1" s="41" t="s">
        <v>223</v>
      </c>
      <c r="AE1" s="41" t="s">
        <v>166</v>
      </c>
      <c r="AF1" s="38" t="s">
        <v>167</v>
      </c>
      <c r="AG1" s="18" t="s">
        <v>168</v>
      </c>
      <c r="AH1" s="41" t="s">
        <v>224</v>
      </c>
      <c r="AI1" s="18" t="s">
        <v>225</v>
      </c>
      <c r="AJ1" s="41" t="s">
        <v>169</v>
      </c>
      <c r="AK1" s="35" t="s">
        <v>170</v>
      </c>
      <c r="AL1" s="35" t="s">
        <v>226</v>
      </c>
      <c r="AM1" s="35" t="s">
        <v>227</v>
      </c>
      <c r="AN1" s="35" t="s">
        <v>171</v>
      </c>
      <c r="AO1" s="41" t="s">
        <v>172</v>
      </c>
      <c r="AP1" s="41" t="s">
        <v>228</v>
      </c>
      <c r="AQ1" s="41" t="s">
        <v>229</v>
      </c>
      <c r="AR1" s="41" t="s">
        <v>173</v>
      </c>
      <c r="AS1" s="42" t="s">
        <v>174</v>
      </c>
      <c r="AT1" s="42" t="s">
        <v>230</v>
      </c>
      <c r="AU1" s="42" t="s">
        <v>231</v>
      </c>
      <c r="AV1" s="42" t="s">
        <v>175</v>
      </c>
      <c r="AW1" s="35" t="s">
        <v>176</v>
      </c>
      <c r="AX1" s="35" t="s">
        <v>232</v>
      </c>
      <c r="AY1" s="35" t="s">
        <v>233</v>
      </c>
      <c r="AZ1" s="35" t="s">
        <v>177</v>
      </c>
      <c r="BA1" s="7" t="s">
        <v>7</v>
      </c>
      <c r="BB1" s="7" t="s">
        <v>136</v>
      </c>
      <c r="BC1" s="7" t="s">
        <v>178</v>
      </c>
      <c r="BD1" s="7" t="s">
        <v>67</v>
      </c>
    </row>
    <row r="2" spans="1:56" x14ac:dyDescent="0.25">
      <c r="A2" t="s">
        <v>47</v>
      </c>
      <c r="B2" t="s">
        <v>179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10</v>
      </c>
      <c r="I2" s="4" t="s">
        <v>42</v>
      </c>
      <c r="J2" t="s">
        <v>235</v>
      </c>
      <c r="K2">
        <v>0.7</v>
      </c>
      <c r="L2" t="s">
        <v>238</v>
      </c>
      <c r="M2">
        <v>0.35</v>
      </c>
      <c r="N2" t="s">
        <v>180</v>
      </c>
      <c r="O2" t="s">
        <v>184</v>
      </c>
      <c r="P2" s="4" t="s">
        <v>181</v>
      </c>
      <c r="Q2" s="4" t="s">
        <v>68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182</v>
      </c>
      <c r="BB2" t="s">
        <v>106</v>
      </c>
      <c r="BC2" t="s">
        <v>106</v>
      </c>
      <c r="BD2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K18" sqref="K1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93</v>
      </c>
      <c r="G1" s="33" t="s">
        <v>94</v>
      </c>
      <c r="H1" s="33" t="s">
        <v>95</v>
      </c>
      <c r="I1" s="33" t="s">
        <v>96</v>
      </c>
      <c r="J1" s="14" t="s">
        <v>97</v>
      </c>
      <c r="K1" s="14" t="s">
        <v>98</v>
      </c>
      <c r="L1" s="14" t="s">
        <v>99</v>
      </c>
      <c r="M1" s="14" t="s">
        <v>100</v>
      </c>
      <c r="N1" s="35" t="s">
        <v>101</v>
      </c>
      <c r="O1" s="35" t="s">
        <v>102</v>
      </c>
      <c r="P1" s="35" t="s">
        <v>103</v>
      </c>
      <c r="Q1" s="7" t="s">
        <v>7</v>
      </c>
      <c r="R1" s="7" t="s">
        <v>136</v>
      </c>
      <c r="S1" s="11" t="s">
        <v>67</v>
      </c>
    </row>
    <row r="2" spans="1:19" x14ac:dyDescent="0.25">
      <c r="A2" t="s">
        <v>47</v>
      </c>
      <c r="B2" t="s">
        <v>104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105</v>
      </c>
      <c r="R2" t="s">
        <v>141</v>
      </c>
      <c r="S2" t="s">
        <v>144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E3"/>
  <sheetViews>
    <sheetView tabSelected="1" topLeftCell="G1" workbookViewId="0">
      <selection activeCell="AC4" sqref="AC4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7.140625" bestFit="1" customWidth="1"/>
    <col min="4" max="4" width="8.140625" bestFit="1" customWidth="1"/>
    <col min="5" max="5" width="16.28515625" bestFit="1" customWidth="1"/>
    <col min="6" max="6" width="12.7109375" bestFit="1" customWidth="1"/>
    <col min="7" max="9" width="11.42578125" bestFit="1" customWidth="1"/>
    <col min="10" max="10" width="8" bestFit="1" customWidth="1"/>
    <col min="11" max="11" width="8.28515625" bestFit="1" customWidth="1"/>
    <col min="12" max="12" width="8.140625" bestFit="1" customWidth="1"/>
    <col min="13" max="14" width="6" bestFit="1" customWidth="1"/>
    <col min="15" max="15" width="8" bestFit="1" customWidth="1"/>
    <col min="16" max="17" width="6.7109375" bestFit="1" customWidth="1"/>
    <col min="18" max="18" width="8" bestFit="1" customWidth="1"/>
    <col min="19" max="20" width="7.5703125" bestFit="1" customWidth="1"/>
    <col min="21" max="21" width="8" customWidth="1"/>
    <col min="22" max="23" width="7.5703125" bestFit="1" customWidth="1"/>
    <col min="24" max="24" width="8" customWidth="1"/>
    <col min="25" max="27" width="11.7109375" bestFit="1" customWidth="1"/>
    <col min="28" max="28" width="14.7109375" customWidth="1"/>
    <col min="29" max="29" width="27" bestFit="1" customWidth="1"/>
    <col min="30" max="30" width="63.7109375" bestFit="1" customWidth="1"/>
    <col min="31" max="31" width="14" bestFit="1" customWidth="1"/>
  </cols>
  <sheetData>
    <row r="1" spans="1:31" s="2" customFormat="1" ht="120" x14ac:dyDescent="0.25">
      <c r="A1" s="7" t="s">
        <v>4</v>
      </c>
      <c r="B1" s="7" t="s">
        <v>7</v>
      </c>
      <c r="C1" s="7" t="s">
        <v>8</v>
      </c>
      <c r="D1" s="7" t="s">
        <v>212</v>
      </c>
      <c r="E1" s="7" t="s">
        <v>90</v>
      </c>
      <c r="F1" s="22" t="s">
        <v>91</v>
      </c>
      <c r="G1" s="23" t="s">
        <v>9</v>
      </c>
      <c r="H1" s="8" t="s">
        <v>40</v>
      </c>
      <c r="I1" s="8" t="s">
        <v>10</v>
      </c>
      <c r="J1" s="24" t="s">
        <v>76</v>
      </c>
      <c r="K1" s="24" t="s">
        <v>77</v>
      </c>
      <c r="L1" s="24" t="s">
        <v>194</v>
      </c>
      <c r="M1" s="25" t="s">
        <v>78</v>
      </c>
      <c r="N1" s="25" t="s">
        <v>79</v>
      </c>
      <c r="O1" s="25" t="s">
        <v>80</v>
      </c>
      <c r="P1" s="26" t="s">
        <v>81</v>
      </c>
      <c r="Q1" s="26" t="s">
        <v>82</v>
      </c>
      <c r="R1" s="26" t="s">
        <v>83</v>
      </c>
      <c r="S1" s="25" t="s">
        <v>188</v>
      </c>
      <c r="T1" s="25" t="s">
        <v>189</v>
      </c>
      <c r="U1" s="25" t="s">
        <v>190</v>
      </c>
      <c r="V1" s="26" t="s">
        <v>191</v>
      </c>
      <c r="W1" s="26" t="s">
        <v>192</v>
      </c>
      <c r="X1" s="26" t="s">
        <v>193</v>
      </c>
      <c r="Y1" s="27" t="s">
        <v>214</v>
      </c>
      <c r="Z1" s="27" t="s">
        <v>215</v>
      </c>
      <c r="AA1" s="27" t="s">
        <v>216</v>
      </c>
      <c r="AB1" s="27" t="s">
        <v>241</v>
      </c>
      <c r="AC1" s="49" t="s">
        <v>217</v>
      </c>
      <c r="AD1" s="7" t="s">
        <v>136</v>
      </c>
      <c r="AE1" s="7" t="s">
        <v>67</v>
      </c>
    </row>
    <row r="2" spans="1:31" x14ac:dyDescent="0.25">
      <c r="A2" t="s">
        <v>47</v>
      </c>
      <c r="B2" t="s">
        <v>84</v>
      </c>
      <c r="C2" s="28" t="s">
        <v>85</v>
      </c>
      <c r="D2" s="4" t="s">
        <v>86</v>
      </c>
      <c r="E2" t="s">
        <v>87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0.2</v>
      </c>
      <c r="AB2" s="32">
        <v>10000</v>
      </c>
      <c r="AC2" s="50" t="b">
        <v>1</v>
      </c>
      <c r="AD2" t="s">
        <v>140</v>
      </c>
      <c r="AE2" t="s">
        <v>218</v>
      </c>
    </row>
    <row r="3" spans="1:31" x14ac:dyDescent="0.25">
      <c r="A3" t="s">
        <v>47</v>
      </c>
      <c r="B3" t="s">
        <v>84</v>
      </c>
      <c r="C3" s="28" t="s">
        <v>88</v>
      </c>
      <c r="D3" s="4" t="s">
        <v>86</v>
      </c>
      <c r="E3" t="s">
        <v>89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0.2</v>
      </c>
      <c r="AB3" s="32">
        <f>AB2</f>
        <v>10000</v>
      </c>
      <c r="AC3" s="50" t="b">
        <v>1</v>
      </c>
      <c r="AD3" t="s">
        <v>141</v>
      </c>
      <c r="AE3" t="s">
        <v>218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J19" sqref="J19"/>
    </sheetView>
  </sheetViews>
  <sheetFormatPr defaultRowHeight="15" x14ac:dyDescent="0.25"/>
  <cols>
    <col min="1" max="1" width="11.42578125" bestFit="1" customWidth="1"/>
    <col min="2" max="2" width="25.570312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239</v>
      </c>
      <c r="C2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M24" sqref="M24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107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107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29</v>
      </c>
      <c r="G7" s="21" t="s">
        <v>71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37</v>
      </c>
      <c r="G8" s="21" t="s">
        <v>72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69</v>
      </c>
      <c r="F9" s="21" t="s">
        <v>51</v>
      </c>
      <c r="G9" s="21" t="s">
        <v>74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69</v>
      </c>
      <c r="F10" s="21" t="s">
        <v>51</v>
      </c>
      <c r="G10" s="21" t="s">
        <v>75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85</v>
      </c>
      <c r="F12" s="21" t="s">
        <v>37</v>
      </c>
      <c r="G12" s="21" t="s">
        <v>72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185</v>
      </c>
      <c r="F14" s="21" t="s">
        <v>29</v>
      </c>
      <c r="G14" s="21" t="s">
        <v>71</v>
      </c>
    </row>
    <row r="15" spans="1:7" x14ac:dyDescent="0.25">
      <c r="A15" s="21" t="s">
        <v>30</v>
      </c>
      <c r="B15" s="21" t="s">
        <v>47</v>
      </c>
      <c r="C15" s="21" t="s">
        <v>69</v>
      </c>
      <c r="D15" s="21" t="s">
        <v>47</v>
      </c>
      <c r="E15" s="21" t="s">
        <v>185</v>
      </c>
      <c r="F15" s="21" t="s">
        <v>51</v>
      </c>
      <c r="G15" s="21" t="s">
        <v>73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185</v>
      </c>
      <c r="F16" s="21" t="s">
        <v>51</v>
      </c>
      <c r="G16" s="21" t="s">
        <v>74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185</v>
      </c>
      <c r="F17" s="21" t="s">
        <v>51</v>
      </c>
      <c r="G17" s="21" t="s">
        <v>75</v>
      </c>
    </row>
    <row r="20" spans="1:7" x14ac:dyDescent="0.25">
      <c r="A20" s="21" t="s">
        <v>30</v>
      </c>
      <c r="B20" s="21" t="s">
        <v>47</v>
      </c>
      <c r="C20" s="21" t="s">
        <v>185</v>
      </c>
      <c r="D20" s="21" t="s">
        <v>47</v>
      </c>
      <c r="E20" s="21" t="s">
        <v>88</v>
      </c>
      <c r="F20" s="21" t="s">
        <v>29</v>
      </c>
      <c r="G20" s="21" t="s">
        <v>71</v>
      </c>
    </row>
    <row r="21" spans="1:7" x14ac:dyDescent="0.25">
      <c r="A21" s="21" t="s">
        <v>30</v>
      </c>
      <c r="B21" s="21" t="s">
        <v>47</v>
      </c>
      <c r="C21" s="21" t="s">
        <v>185</v>
      </c>
      <c r="D21" s="21" t="s">
        <v>47</v>
      </c>
      <c r="E21" s="21" t="s">
        <v>88</v>
      </c>
      <c r="F21" s="21" t="s">
        <v>51</v>
      </c>
      <c r="G21" s="21" t="s">
        <v>73</v>
      </c>
    </row>
    <row r="22" spans="1:7" x14ac:dyDescent="0.25">
      <c r="A22" s="21" t="s">
        <v>30</v>
      </c>
      <c r="B22" s="21" t="s">
        <v>47</v>
      </c>
      <c r="C22" s="21" t="s">
        <v>185</v>
      </c>
      <c r="D22" s="21" t="s">
        <v>47</v>
      </c>
      <c r="E22" s="21" t="s">
        <v>88</v>
      </c>
      <c r="F22" s="21" t="s">
        <v>51</v>
      </c>
      <c r="G22" s="21" t="s">
        <v>74</v>
      </c>
    </row>
    <row r="24" spans="1:7" x14ac:dyDescent="0.25">
      <c r="A24" s="48" t="s">
        <v>30</v>
      </c>
      <c r="B24" s="48" t="s">
        <v>47</v>
      </c>
      <c r="C24" s="48" t="s">
        <v>69</v>
      </c>
      <c r="D24" s="48" t="s">
        <v>47</v>
      </c>
      <c r="E24" s="48" t="s">
        <v>208</v>
      </c>
      <c r="F24" s="48" t="s">
        <v>51</v>
      </c>
      <c r="G24" s="48" t="s">
        <v>209</v>
      </c>
    </row>
    <row r="25" spans="1:7" x14ac:dyDescent="0.25">
      <c r="A25" s="48" t="s">
        <v>30</v>
      </c>
      <c r="B25" s="48" t="s">
        <v>47</v>
      </c>
      <c r="C25" s="48" t="s">
        <v>69</v>
      </c>
      <c r="D25" s="48" t="s">
        <v>47</v>
      </c>
      <c r="E25" s="48" t="s">
        <v>208</v>
      </c>
      <c r="F25" s="48" t="s">
        <v>51</v>
      </c>
      <c r="G25" s="48" t="s">
        <v>210</v>
      </c>
    </row>
    <row r="26" spans="1:7" x14ac:dyDescent="0.25">
      <c r="A26" s="48" t="s">
        <v>30</v>
      </c>
      <c r="B26" s="48" t="s">
        <v>47</v>
      </c>
      <c r="C26" s="48" t="s">
        <v>69</v>
      </c>
      <c r="D26" s="48" t="s">
        <v>47</v>
      </c>
      <c r="E26" s="48" t="s">
        <v>208</v>
      </c>
      <c r="F26" s="48" t="s">
        <v>51</v>
      </c>
      <c r="G26" s="48" t="s">
        <v>211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F23" sqref="F23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5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69</v>
      </c>
      <c r="F5" s="21" t="s">
        <v>29</v>
      </c>
      <c r="G5" s="21" t="s">
        <v>71</v>
      </c>
    </row>
    <row r="6" spans="1:7" x14ac:dyDescent="0.2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69</v>
      </c>
      <c r="F6" s="21" t="s">
        <v>37</v>
      </c>
      <c r="G6" s="21" t="s">
        <v>72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51</v>
      </c>
      <c r="G7" s="21" t="s">
        <v>74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51</v>
      </c>
      <c r="G8" s="21" t="s">
        <v>75</v>
      </c>
    </row>
    <row r="10" spans="1:7" x14ac:dyDescent="0.25">
      <c r="A10" s="21" t="s">
        <v>30</v>
      </c>
      <c r="B10" s="21" t="s">
        <v>47</v>
      </c>
      <c r="C10" s="21" t="s">
        <v>69</v>
      </c>
      <c r="D10" s="21" t="s">
        <v>47</v>
      </c>
      <c r="E10" s="21" t="s">
        <v>85</v>
      </c>
      <c r="F10" s="21" t="s">
        <v>37</v>
      </c>
      <c r="G10" s="21" t="s">
        <v>72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88</v>
      </c>
      <c r="F12" s="21" t="s">
        <v>29</v>
      </c>
      <c r="G12" s="21" t="s">
        <v>71</v>
      </c>
    </row>
    <row r="13" spans="1:7" x14ac:dyDescent="0.25">
      <c r="A13" s="21" t="s">
        <v>30</v>
      </c>
      <c r="B13" s="21" t="s">
        <v>47</v>
      </c>
      <c r="C13" s="21" t="s">
        <v>69</v>
      </c>
      <c r="D13" s="21" t="s">
        <v>47</v>
      </c>
      <c r="E13" s="21" t="s">
        <v>88</v>
      </c>
      <c r="F13" s="21" t="s">
        <v>51</v>
      </c>
      <c r="G13" s="21" t="s">
        <v>73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88</v>
      </c>
      <c r="F14" s="21" t="s">
        <v>51</v>
      </c>
      <c r="G14" s="21" t="s">
        <v>74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179</v>
      </c>
      <c r="F16" s="21" t="s">
        <v>51</v>
      </c>
      <c r="G16" s="21" t="s">
        <v>210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179</v>
      </c>
      <c r="F17" s="21" t="s">
        <v>51</v>
      </c>
      <c r="G17" s="21" t="s">
        <v>209</v>
      </c>
    </row>
    <row r="18" spans="1:7" x14ac:dyDescent="0.25">
      <c r="A18" s="21" t="s">
        <v>30</v>
      </c>
      <c r="B18" s="21" t="s">
        <v>47</v>
      </c>
      <c r="C18" s="21" t="s">
        <v>69</v>
      </c>
      <c r="D18" s="21" t="s">
        <v>47</v>
      </c>
      <c r="E18" s="21" t="s">
        <v>179</v>
      </c>
      <c r="F18" s="21" t="s">
        <v>51</v>
      </c>
      <c r="G18" s="21" t="s">
        <v>211</v>
      </c>
    </row>
    <row r="20" spans="1:7" x14ac:dyDescent="0.25">
      <c r="A20" s="21" t="s">
        <v>30</v>
      </c>
      <c r="B20" s="21" t="s">
        <v>47</v>
      </c>
      <c r="C20" s="21" t="s">
        <v>179</v>
      </c>
      <c r="D20" s="21" t="s">
        <v>47</v>
      </c>
      <c r="E20" s="21" t="s">
        <v>239</v>
      </c>
      <c r="F20" s="21" t="s">
        <v>51</v>
      </c>
      <c r="G20" s="21" t="s">
        <v>234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D15" sqref="D15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237</v>
      </c>
      <c r="B3" t="s">
        <v>237</v>
      </c>
    </row>
    <row r="4" spans="1:2" x14ac:dyDescent="0.25">
      <c r="A4" t="s">
        <v>31</v>
      </c>
      <c r="B4" t="s">
        <v>31</v>
      </c>
    </row>
    <row r="5" spans="1:2" x14ac:dyDescent="0.25">
      <c r="A5" t="s">
        <v>92</v>
      </c>
      <c r="B5" t="s">
        <v>92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240</v>
      </c>
      <c r="B7" t="s">
        <v>240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Flares</vt:lpstr>
      <vt:lpstr>TankBattery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2025-06-13T22:07:24Z</dcterms:modified>
</cp:coreProperties>
</file>