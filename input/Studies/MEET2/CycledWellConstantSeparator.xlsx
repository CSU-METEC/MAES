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death\METEC_MEET\MEET_2.0_0007_P\input\Studies\MEET2\"/>
    </mc:Choice>
  </mc:AlternateContent>
  <xr:revisionPtr revIDLastSave="0" documentId="13_ncr:1_{61833AC5-98C8-4370-8F9C-974C7612223E}" xr6:coauthVersionLast="47" xr6:coauthVersionMax="47" xr10:uidLastSave="{00000000-0000-0000-0000-000000000000}"/>
  <bookViews>
    <workbookView xWindow="-120" yWindow="-120" windowWidth="29040" windowHeight="15840" tabRatio="937" xr2:uid="{00000000-000D-0000-FFFF-FFFF00000000}"/>
  </bookViews>
  <sheets>
    <sheet name="Global Simulation Parameters" sheetId="1" r:id="rId1"/>
    <sheet name="Facilities" sheetId="2" r:id="rId2"/>
    <sheet name="Wells" sheetId="21" r:id="rId3"/>
    <sheet name="Separators" sheetId="5" r:id="rId4"/>
    <sheet name="Probes" sheetId="22" r:id="rId5"/>
    <sheet name="FFLinks" sheetId="16" r:id="rId6"/>
    <sheet name="Debug" sheetId="17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<sst xmlns="http://schemas.openxmlformats.org/spreadsheetml/2006/main" count="202" uniqueCount="91">
  <si>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</si>
  <si>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</si>
  <si>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</si>
  <si>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</si>
  <si>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</si>
  <si>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</si>
  <si>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</si>
  <si>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</si>
  <si>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</si>
  <si>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</si>
  <si>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</si>
  <si>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</si>
  <si>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</si>
  <si>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</si>
  <si>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</si>
  <si>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</si>
  <si>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</si>
  <si>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</si>
  <si>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</si>
  <si>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</si>
  <si>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</si>
  <si>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</si>
  <si>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</si>
  <si>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</si>
  <si>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</si>
  <si>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</si>
  <si>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</si>
  <si>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</si>
  <si>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</si>
  <si>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</si>
  <si>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</si>
  <si>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</si>
  <si>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</si>
  <si>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</si>
  <si>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</si>
  <si>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</si>
  <si>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</si>
  <si>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</si>
  <si>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</si>
  <si>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</si>
  <si>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</si>
  <si>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</si>
  <si>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</si>
  <si>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</si>
  <si>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</si>
  <si>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</si>
  <si>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</si>
  <si>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</si>
  <si>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</si>
  <si>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</si>
  <si>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</si>
  <si>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ContinuousSeparator.json</t>
  </si>
  <si>
    <t>Probes</t>
  </si>
  <si>
    <t>Probe.json</t>
  </si>
  <si>
    <t>Vapor</t>
  </si>
  <si>
    <t>Stage1</t>
  </si>
  <si>
    <t>input/Studies/MEET2/TestCompositionsFF.csv</t>
  </si>
  <si>
    <t>Activity / Emission Factor Name</t>
  </si>
  <si>
    <t>input/Studies/MEET2/Factors.csv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</si>
  <si>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</si>
  <si>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</si>
  <si>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</si>
  <si>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</si>
  <si>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</si>
  <si>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</si>
  <si>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</si>
  <si>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</si>
  <si>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FlashFractions/FlashFractionsTest.csv</t>
  </si>
  <si>
    <t>output/Validation/MassFlow/MC_{scenarioTimestamp}</t>
  </si>
  <si>
    <t>probe_c</t>
  </si>
  <si>
    <t>probe_w</t>
  </si>
  <si>
    <t>probe_g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</si>
  <si>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</si>
  <si>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</si>
  <si>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</si>
  <si>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</si>
  <si>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</si>
  <si>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</si>
  <si>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</si>
  <si>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</si>
  <si>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</si>
  <si>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</si>
  <si>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condensate_flash</t>
  </si>
  <si>
    <t>water_flash</t>
  </si>
  <si>
    <t>Default-LeakGc</t>
  </si>
  <si>
    <t>Leak GC Name</t>
  </si>
  <si>
    <t>Well-Condensate.Stage1-Flash</t>
  </si>
  <si>
    <t>Well-Condensate.Stage1-Condensate.Stage2-Flash</t>
  </si>
  <si>
    <t>wellpad</t>
  </si>
  <si>
    <t>Leak Gas Composition</t>
  </si>
  <si>
    <t>wellpad_sep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</si>
</sst>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A19" sqref="A19"/>
    </sheetView>
  </sheetViews>
  <sheetFormatPr defaultRowHeight="15" x14ac:dyDescent="0.25"/>
  <cols>
    <col min="1" max="1" width="31.57031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 t="s">
        <v>68</v>
      </c>
    </row>
    <row r="5" spans="1:2" x14ac:dyDescent="0.25">
      <c r="A5" t="s">
        <v>57</v>
      </c>
      <c r="B5" t="s">
        <v>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89</v>
      </c>
      <c r="E1" s="3" t="s">
        <v>8</v>
      </c>
    </row>
    <row r="2" spans="1:5" x14ac:dyDescent="0.25">
      <c r="A2" t="s">
        <v>48</v>
      </c>
      <c r="B2" s="5">
        <v>0</v>
      </c>
      <c r="C2" s="5">
        <v>0</v>
      </c>
      <c r="D2" t="s">
        <v>56</v>
      </c>
      <c r="E2" t="s">
        <v>22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topLeftCell="F1" workbookViewId="0">
      <selection activeCell="O17" sqref="O17"/>
    </sheetView>
  </sheetViews>
  <sheetFormatPr defaultColWidth="15.85546875" defaultRowHeight="15" x14ac:dyDescent="0.25"/>
  <cols>
    <col min="1" max="1" width="11.42578125" bestFit="1" customWidth="1"/>
    <col min="2" max="2" width="16.85546875" bestFit="1" customWidth="1"/>
    <col min="3" max="3" width="7.140625" bestFit="1" customWidth="1"/>
    <col min="4" max="4" width="8.28515625" bestFit="1" customWidth="1"/>
    <col min="5" max="5" width="9.85546875" bestFit="1" customWidth="1"/>
    <col min="6" max="6" width="14.42578125" bestFit="1" customWidth="1"/>
    <col min="7" max="7" width="16.85546875" bestFit="1" customWidth="1"/>
    <col min="8" max="8" width="12.140625" bestFit="1" customWidth="1"/>
    <col min="9" max="10" width="15.7109375" bestFit="1" customWidth="1"/>
    <col min="11" max="11" width="12" bestFit="1" customWidth="1"/>
    <col min="12" max="12" width="16.140625" customWidth="1"/>
    <col min="13" max="13" width="11.42578125" bestFit="1" customWidth="1"/>
    <col min="14" max="15" width="16.140625" customWidth="1"/>
    <col min="16" max="16" width="8.7109375" bestFit="1" customWidth="1"/>
    <col min="17" max="17" width="19.85546875" bestFit="1" customWidth="1"/>
    <col min="18" max="18" width="59.42578125" bestFit="1" customWidth="1"/>
  </cols>
  <sheetData>
    <row r="1" spans="1:19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5" t="s">
        <v>41</v>
      </c>
      <c r="G1" s="15" t="s">
        <v>10</v>
      </c>
      <c r="H1" s="15" t="s">
        <v>11</v>
      </c>
      <c r="I1" s="13" t="s">
        <v>60</v>
      </c>
      <c r="J1" s="13" t="s">
        <v>61</v>
      </c>
      <c r="K1" s="16" t="s">
        <v>72</v>
      </c>
      <c r="L1" s="16" t="s">
        <v>73</v>
      </c>
      <c r="M1" s="16" t="s">
        <v>74</v>
      </c>
      <c r="N1" s="16" t="s">
        <v>75</v>
      </c>
      <c r="O1" s="7" t="s">
        <v>42</v>
      </c>
      <c r="P1" s="7" t="s">
        <v>36</v>
      </c>
      <c r="Q1" s="7" t="s">
        <v>85</v>
      </c>
      <c r="R1" s="7" t="s">
        <v>44</v>
      </c>
      <c r="S1" s="7" t="s">
        <v>76</v>
      </c>
    </row>
    <row r="2" spans="1:19" x14ac:dyDescent="0.25">
      <c r="A2" t="s">
        <v>48</v>
      </c>
      <c r="B2" t="s">
        <v>59</v>
      </c>
      <c r="C2" t="s">
        <v>50</v>
      </c>
      <c r="D2">
        <v>0</v>
      </c>
      <c r="E2">
        <v>0</v>
      </c>
      <c r="F2" s="17">
        <v>365</v>
      </c>
      <c r="G2" s="17">
        <v>10</v>
      </c>
      <c r="H2" s="17">
        <v>0.02</v>
      </c>
      <c r="I2" s="12">
        <v>24</v>
      </c>
      <c r="J2" s="12">
        <v>24</v>
      </c>
      <c r="K2" s="18">
        <v>1</v>
      </c>
      <c r="L2" s="18">
        <v>60</v>
      </c>
      <c r="M2" s="18">
        <v>0</v>
      </c>
      <c r="N2" s="18">
        <v>0</v>
      </c>
      <c r="O2" t="s">
        <v>77</v>
      </c>
      <c r="P2" t="s">
        <v>12</v>
      </c>
      <c r="Q2" t="s">
        <v>84</v>
      </c>
      <c r="R2" t="s">
        <v>56</v>
      </c>
      <c r="S2" t="s">
        <v>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topLeftCell="E1" workbookViewId="0">
      <selection activeCell="K21" sqref="K21"/>
    </sheetView>
  </sheetViews>
  <sheetFormatPr defaultRowHeight="15" x14ac:dyDescent="0.25"/>
  <cols>
    <col min="1" max="1" width="11.42578125" bestFit="1" customWidth="1"/>
    <col min="2" max="2" width="13.42578125" customWidth="1"/>
    <col min="3" max="3" width="11.42578125" bestFit="1" customWidth="1"/>
    <col min="4" max="4" width="35.5703125" bestFit="1" customWidth="1"/>
    <col min="5" max="5" width="11.42578125" bestFit="1" customWidth="1"/>
    <col min="6" max="6" width="10.28515625" style="4" customWidth="1"/>
    <col min="7" max="7" width="7.85546875" bestFit="1" customWidth="1"/>
    <col min="8" max="11" width="18.7109375" customWidth="1"/>
    <col min="12" max="12" width="34.85546875" bestFit="1" customWidth="1"/>
    <col min="13" max="13" width="16.28515625" customWidth="1"/>
    <col min="14" max="14" width="24.42578125" bestFit="1" customWidth="1"/>
    <col min="15" max="15" width="47.140625" bestFit="1" customWidth="1"/>
    <col min="16" max="16" width="17.42578125" bestFit="1" customWidth="1"/>
  </cols>
  <sheetData>
    <row r="1" spans="1:16" s="10" customFormat="1" ht="60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7" t="s">
        <v>42</v>
      </c>
      <c r="G1" s="9" t="s">
        <v>39</v>
      </c>
      <c r="H1" s="14" t="s">
        <v>62</v>
      </c>
      <c r="I1" s="14" t="s">
        <v>63</v>
      </c>
      <c r="J1" s="14" t="s">
        <v>64</v>
      </c>
      <c r="K1" s="14" t="s">
        <v>65</v>
      </c>
      <c r="L1" s="14" t="s">
        <v>66</v>
      </c>
      <c r="M1" s="9" t="s">
        <v>37</v>
      </c>
      <c r="N1" s="7" t="s">
        <v>8</v>
      </c>
      <c r="O1" s="7" t="s">
        <v>85</v>
      </c>
      <c r="P1" s="11" t="s">
        <v>76</v>
      </c>
    </row>
    <row r="2" spans="1:16" s="2" customFormat="1" x14ac:dyDescent="0.25">
      <c r="A2" t="s">
        <v>48</v>
      </c>
      <c r="B2" t="s">
        <v>49</v>
      </c>
      <c r="C2" s="6">
        <v>365</v>
      </c>
      <c r="D2" s="6">
        <v>20</v>
      </c>
      <c r="E2" s="6">
        <v>0.02</v>
      </c>
      <c r="F2" s="4" t="s">
        <v>43</v>
      </c>
      <c r="G2">
        <v>1</v>
      </c>
      <c r="H2" s="12">
        <v>1</v>
      </c>
      <c r="I2" s="12">
        <v>0.5</v>
      </c>
      <c r="J2" s="12">
        <v>1</v>
      </c>
      <c r="K2" s="12">
        <v>3</v>
      </c>
      <c r="L2" s="12" t="s">
        <v>67</v>
      </c>
      <c r="M2" t="s">
        <v>55</v>
      </c>
      <c r="N2" t="s">
        <v>51</v>
      </c>
      <c r="O2" t="s">
        <v>86</v>
      </c>
      <c r="P2" s="2" t="s">
        <v>90</v>
      </c>
    </row>
    <row r="3" spans="1:16" s="2" customFormat="1" x14ac:dyDescent="0.25">
      <c r="A3" t="s">
        <v>48</v>
      </c>
      <c r="B3" t="s">
        <v>78</v>
      </c>
      <c r="C3" s="6">
        <v>365</v>
      </c>
      <c r="D3" s="6">
        <v>20</v>
      </c>
      <c r="E3" s="6">
        <v>0.02</v>
      </c>
      <c r="F3" s="4" t="s">
        <v>43</v>
      </c>
      <c r="G3">
        <v>1</v>
      </c>
      <c r="H3" s="12">
        <v>1</v>
      </c>
      <c r="I3" s="12">
        <v>0.5</v>
      </c>
      <c r="J3" s="12">
        <v>1</v>
      </c>
      <c r="K3" s="12">
        <v>3</v>
      </c>
      <c r="L3" s="12" t="s">
        <v>67</v>
      </c>
      <c r="M3" t="s">
        <v>79</v>
      </c>
      <c r="N3" t="s">
        <v>51</v>
      </c>
      <c r="O3" t="s">
        <v>87</v>
      </c>
      <c r="P3" s="2" t="s">
        <v>90</v>
      </c>
    </row>
  </sheetData>
  <phoneticPr fontId="3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K24" sqref="K24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ht="30" x14ac:dyDescent="0.25">
      <c r="A1" s="11" t="s">
        <v>5</v>
      </c>
      <c r="B1" s="11" t="s">
        <v>9</v>
      </c>
      <c r="C1" s="11" t="s">
        <v>8</v>
      </c>
    </row>
    <row r="2" spans="1:3" x14ac:dyDescent="0.25">
      <c r="A2" t="s">
        <v>48</v>
      </c>
      <c r="B2" t="s">
        <v>69</v>
      </c>
      <c r="C2" t="s">
        <v>53</v>
      </c>
    </row>
    <row r="3" spans="1:3" x14ac:dyDescent="0.25">
      <c r="A3" t="s">
        <v>48</v>
      </c>
      <c r="B3" t="s">
        <v>70</v>
      </c>
      <c r="C3" t="s">
        <v>53</v>
      </c>
    </row>
    <row r="4" spans="1:3" x14ac:dyDescent="0.25">
      <c r="A4" t="s">
        <v>48</v>
      </c>
      <c r="B4" t="s">
        <v>71</v>
      </c>
      <c r="C4" t="s">
        <v>53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2"/>
  <sheetViews>
    <sheetView workbookViewId="0">
      <selection activeCell="G24" sqref="G24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2.85546875" bestFit="1" customWidth="1"/>
    <col min="4" max="4" width="13.85546875" bestFit="1" customWidth="1"/>
    <col min="5" max="5" width="11.2851562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25">
      <c r="A2" t="s">
        <v>31</v>
      </c>
      <c r="B2" t="s">
        <v>48</v>
      </c>
      <c r="C2" t="s">
        <v>50</v>
      </c>
      <c r="D2" t="s">
        <v>48</v>
      </c>
      <c r="E2" t="s">
        <v>49</v>
      </c>
      <c r="F2" t="s">
        <v>30</v>
      </c>
    </row>
    <row r="3" spans="1:7" x14ac:dyDescent="0.25">
      <c r="A3" t="s">
        <v>31</v>
      </c>
      <c r="B3" t="s">
        <v>48</v>
      </c>
      <c r="C3" t="s">
        <v>50</v>
      </c>
      <c r="D3" t="s">
        <v>48</v>
      </c>
      <c r="E3" t="s">
        <v>49</v>
      </c>
      <c r="F3" t="s">
        <v>38</v>
      </c>
    </row>
    <row r="5" spans="1:7" x14ac:dyDescent="0.25">
      <c r="A5" s="19" t="s">
        <v>31</v>
      </c>
      <c r="B5" s="19" t="s">
        <v>48</v>
      </c>
      <c r="C5" s="19" t="s">
        <v>49</v>
      </c>
      <c r="D5" s="19" t="s">
        <v>48</v>
      </c>
      <c r="E5" s="19" t="s">
        <v>78</v>
      </c>
      <c r="F5" s="19" t="s">
        <v>30</v>
      </c>
      <c r="G5" s="19" t="s">
        <v>80</v>
      </c>
    </row>
    <row r="6" spans="1:7" x14ac:dyDescent="0.25">
      <c r="A6" s="19" t="s">
        <v>31</v>
      </c>
      <c r="B6" s="19" t="s">
        <v>48</v>
      </c>
      <c r="C6" s="19" t="s">
        <v>49</v>
      </c>
      <c r="D6" s="19" t="s">
        <v>48</v>
      </c>
      <c r="E6" s="19" t="s">
        <v>78</v>
      </c>
      <c r="F6" s="19" t="s">
        <v>38</v>
      </c>
      <c r="G6" s="19" t="s">
        <v>81</v>
      </c>
    </row>
    <row r="7" spans="1:7" x14ac:dyDescent="0.25">
      <c r="A7" s="19" t="s">
        <v>31</v>
      </c>
      <c r="B7" s="19" t="s">
        <v>48</v>
      </c>
      <c r="C7" s="19" t="s">
        <v>49</v>
      </c>
      <c r="D7" s="19" t="s">
        <v>48</v>
      </c>
      <c r="E7" s="19" t="s">
        <v>78</v>
      </c>
      <c r="F7" s="19" t="s">
        <v>54</v>
      </c>
      <c r="G7" s="19" t="s">
        <v>82</v>
      </c>
    </row>
    <row r="8" spans="1:7" x14ac:dyDescent="0.25">
      <c r="A8" s="19" t="s">
        <v>31</v>
      </c>
      <c r="B8" s="19" t="s">
        <v>48</v>
      </c>
      <c r="C8" s="19" t="s">
        <v>49</v>
      </c>
      <c r="D8" s="19" t="s">
        <v>48</v>
      </c>
      <c r="E8" s="19" t="s">
        <v>78</v>
      </c>
      <c r="F8" s="19" t="s">
        <v>54</v>
      </c>
      <c r="G8" s="19" t="s">
        <v>83</v>
      </c>
    </row>
    <row r="10" spans="1:7" x14ac:dyDescent="0.25">
      <c r="A10" t="s">
        <v>31</v>
      </c>
      <c r="B10" t="s">
        <v>48</v>
      </c>
      <c r="C10" t="s">
        <v>78</v>
      </c>
      <c r="D10" t="s">
        <v>48</v>
      </c>
      <c r="E10" t="s">
        <v>69</v>
      </c>
      <c r="F10" t="s">
        <v>30</v>
      </c>
    </row>
    <row r="11" spans="1:7" x14ac:dyDescent="0.25">
      <c r="A11" t="s">
        <v>31</v>
      </c>
      <c r="B11" t="s">
        <v>48</v>
      </c>
      <c r="C11" t="s">
        <v>78</v>
      </c>
      <c r="D11" t="s">
        <v>48</v>
      </c>
      <c r="E11" t="s">
        <v>70</v>
      </c>
      <c r="F11" t="s">
        <v>38</v>
      </c>
    </row>
    <row r="12" spans="1:7" x14ac:dyDescent="0.25">
      <c r="A12" t="s">
        <v>31</v>
      </c>
      <c r="B12" t="s">
        <v>48</v>
      </c>
      <c r="C12" t="s">
        <v>78</v>
      </c>
      <c r="D12" t="s">
        <v>48</v>
      </c>
      <c r="E12" t="s">
        <v>71</v>
      </c>
      <c r="F12" t="s">
        <v>54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6"/>
  <sheetViews>
    <sheetView workbookViewId="0">
      <selection activeCell="D22" sqref="D22"/>
    </sheetView>
  </sheetViews>
  <sheetFormatPr defaultRowHeight="15" x14ac:dyDescent="0.25"/>
  <cols>
    <col min="1" max="1" width="19.28515625" bestFit="1" customWidth="1"/>
    <col min="2" max="2" width="12.285156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33</v>
      </c>
      <c r="C1" t="s">
        <v>34</v>
      </c>
    </row>
    <row r="2" spans="1:3" x14ac:dyDescent="0.25">
      <c r="A2" t="s">
        <v>35</v>
      </c>
      <c r="B2" t="str">
        <f>"FFDump"&amp;C2</f>
        <v>FFDump500</v>
      </c>
      <c r="C2">
        <v>500</v>
      </c>
    </row>
    <row r="3" spans="1:3" x14ac:dyDescent="0.25">
      <c r="A3" t="s">
        <v>35</v>
      </c>
      <c r="B3" t="str">
        <f>"FFDump"&amp;C3</f>
        <v>FFDump600</v>
      </c>
      <c r="C3">
        <v>600</v>
      </c>
    </row>
    <row r="4" spans="1:3" x14ac:dyDescent="0.25">
      <c r="A4" t="s">
        <v>35</v>
      </c>
      <c r="B4" t="str">
        <f>"FFDump"&amp;C4</f>
        <v>FFDump601</v>
      </c>
      <c r="C4">
        <v>601</v>
      </c>
    </row>
    <row r="5" spans="1:3" x14ac:dyDescent="0.25">
      <c r="A5" t="s">
        <v>35</v>
      </c>
      <c r="B5" t="str">
        <f>"FFDump"&amp;C5</f>
        <v>FFDump590</v>
      </c>
      <c r="C5">
        <v>590</v>
      </c>
    </row>
    <row r="6" spans="1:3" x14ac:dyDescent="0.25">
      <c r="A6" t="s">
        <v>35</v>
      </c>
      <c r="B6" t="str">
        <f>"FFDump"&amp;C6</f>
        <v>FFDump50</v>
      </c>
      <c r="C6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A7" sqref="A7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32</v>
      </c>
      <c r="B4" t="s">
        <v>32</v>
      </c>
    </row>
    <row r="5" spans="1:2" x14ac:dyDescent="0.25">
      <c r="A5" t="s">
        <v>52</v>
      </c>
      <c r="B5" t="s">
        <v>52</v>
      </c>
    </row>
    <row r="6" spans="1:2" x14ac:dyDescent="0.25">
      <c r="A6" t="s">
        <v>45</v>
      </c>
      <c r="B6" t="s">
        <v>45</v>
      </c>
    </row>
    <row r="7" spans="1:2" x14ac:dyDescent="0.25">
      <c r="A7" t="s">
        <v>23</v>
      </c>
      <c r="B7" t="s">
        <v>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40</v>
      </c>
      <c r="B4" t="s">
        <v>40</v>
      </c>
    </row>
    <row r="5" spans="1:2" x14ac:dyDescent="0.25">
      <c r="A5" t="s">
        <v>32</v>
      </c>
      <c r="B5" t="s">
        <v>32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46</v>
      </c>
      <c r="B10" t="s">
        <v>46</v>
      </c>
    </row>
    <row r="11" spans="1:2" x14ac:dyDescent="0.25">
      <c r="A11" t="s">
        <v>47</v>
      </c>
      <c r="B11" t="s">
        <v>47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23</v>
      </c>
      <c r="B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Wells</vt:lpstr>
      <vt:lpstr>Separators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PRAJAY</cp:lastModifiedBy>
  <dcterms:created xsi:type="dcterms:W3CDTF">2021-02-18T15:05:05Z</dcterms:created>
  <dcterms:modified xsi:type="dcterms:W3CDTF">2022-10-31T01:13:01Z</dcterms:modified>
</cp:coreProperties>
</file>