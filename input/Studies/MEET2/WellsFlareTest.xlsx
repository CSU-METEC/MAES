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/>
  <mc:AlternateContent xmlns:mc="http://schemas.openxmlformats.org/markup-compatibility/2006">
    <mc:Choice Requires="x15">
      <x15ac:absPath xmlns:x15ac="http://schemas.microsoft.com/office/spreadsheetml/2010/11/ac" url="C:\METEC\MEET2\input\Studies\MEET2\"/>
    </mc:Choice>
  </mc:AlternateContent>
  <xr:revisionPtr revIDLastSave="0" documentId="13_ncr:1_{F0700DAB-52CE-44C8-B04F-19A062847905}" xr6:coauthVersionLast="47" xr6:coauthVersionMax="47" xr10:uidLastSave="{00000000-0000-0000-0000-000000000000}"/>
  <bookViews>
    <workbookView xWindow="-120" yWindow="-120" windowWidth="29040" windowHeight="15720" tabRatio="925" activeTab="6" xr2:uid="{00000000-000D-0000-FFFF-FFFF00000000}"/>
  </bookViews>
  <sheets>
    <sheet name="Global Simulation Parameters" sheetId="1" r:id="rId1"/>
    <sheet name="Facilities" sheetId="2" r:id="rId2"/>
    <sheet name="Cycling Wells" sheetId="21" r:id="rId3"/>
    <sheet name="ContinuousWells" sheetId="22" r:id="rId4"/>
    <sheet name="Continuous Separators" sheetId="4" r:id="rId5"/>
    <sheet name="Other" sheetId="8" r:id="rId6"/>
    <sheet name="Tank Battery" sheetId="11" r:id="rId7"/>
    <sheet name="VRUs" sheetId="12" r:id="rId8"/>
    <sheet name="Flares" sheetId="20" r:id="rId9"/>
    <sheet name="FFLinks" sheetId="16" r:id="rId10"/>
    <sheet name="Links" sheetId="13" r:id="rId11"/>
    <sheet name="Debug" sheetId="18" r:id="rId12"/>
    <sheet name="Master Equipment" sheetId="1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2" i="12" l="1"/>
  <c r="O2" i="12"/>
</calcChain>
</file>

<file path=xl/sharedStrings.xml><?xml version="1.0" encoding="utf-8"?>
<sst xmlns="http://schemas.openxmlformats.org/spreadsheetml/2006/main" count="917" uniqueCount="223">
  <si>
    <t>Simulation Start Date</t>
  </si>
  <si>
    <t>1/1/2021</t>
  </si>
  <si>
    <t>Simulation Duration [Days]</t>
  </si>
  <si>
    <t>Number of Monte Carlo Iterations</t>
  </si>
  <si>
    <t>Facility ID</t>
  </si>
  <si>
    <t>Latitude</t>
  </si>
  <si>
    <t>Longitude</t>
  </si>
  <si>
    <t>Model ID</t>
  </si>
  <si>
    <t>Unit ID</t>
  </si>
  <si>
    <t>Component Count</t>
  </si>
  <si>
    <t>Component pLeak</t>
  </si>
  <si>
    <t>Average Loading</t>
  </si>
  <si>
    <t>Std Loading</t>
  </si>
  <si>
    <t>Blowdown Vent pLeak</t>
  </si>
  <si>
    <t>Common Single-Unit Vent pLeak</t>
  </si>
  <si>
    <t>pMalfunction</t>
  </si>
  <si>
    <t>pUnlit</t>
  </si>
  <si>
    <t>Tank Thief Hatch pLeak</t>
  </si>
  <si>
    <t>Tank Battery Vent pLeak</t>
  </si>
  <si>
    <t>Tank Battery</t>
  </si>
  <si>
    <t>Water Tank</t>
  </si>
  <si>
    <t>Condensate Tank</t>
  </si>
  <si>
    <t>ME1 Facility</t>
  </si>
  <si>
    <t>ME1 Unit</t>
  </si>
  <si>
    <t>ME2 Facility</t>
  </si>
  <si>
    <t>ME2 Unit</t>
  </si>
  <si>
    <t>Readable Name</t>
  </si>
  <si>
    <t>Tab</t>
  </si>
  <si>
    <t>Facilities</t>
  </si>
  <si>
    <t>Flares</t>
  </si>
  <si>
    <t>tank_battery_WATER</t>
  </si>
  <si>
    <t>tank_battery_OIL</t>
  </si>
  <si>
    <t>Single Unit Vents</t>
  </si>
  <si>
    <t>Seal Vent pLeak</t>
  </si>
  <si>
    <t>Seal Vent(Large Emitter) pLeak</t>
  </si>
  <si>
    <t>Primary Water Takeoff Ratio</t>
  </si>
  <si>
    <t>sep_stage1_1</t>
  </si>
  <si>
    <t>Fluid Flows</t>
  </si>
  <si>
    <t>FFLinks</t>
  </si>
  <si>
    <t>Outlet FacilityID</t>
  </si>
  <si>
    <t>Outlet UnitID</t>
  </si>
  <si>
    <t>Inlet FacilityID</t>
  </si>
  <si>
    <t>Inlet UnitID</t>
  </si>
  <si>
    <t>Flow Name</t>
  </si>
  <si>
    <t>Flow SecondaryID</t>
  </si>
  <si>
    <t>sep_stage2_1</t>
  </si>
  <si>
    <t>Flow Tag</t>
  </si>
  <si>
    <t>Well</t>
  </si>
  <si>
    <t>Flow GC Tag</t>
  </si>
  <si>
    <t>Stage1</t>
  </si>
  <si>
    <t>Stage2</t>
  </si>
  <si>
    <t>Condensate</t>
  </si>
  <si>
    <t>Water</t>
  </si>
  <si>
    <t>primary_water</t>
  </si>
  <si>
    <t>Output Directory Template DZ</t>
  </si>
  <si>
    <t>Debug</t>
  </si>
  <si>
    <t>FFDump50</t>
  </si>
  <si>
    <t>DumpID</t>
  </si>
  <si>
    <t>Dump Time</t>
  </si>
  <si>
    <t>Facility.json</t>
  </si>
  <si>
    <t>Flare.json</t>
  </si>
  <si>
    <t>FFLink.json</t>
  </si>
  <si>
    <t>FFDumpService.json</t>
  </si>
  <si>
    <t>Component Leak Survey Frequency [days]</t>
  </si>
  <si>
    <t>TankBattery.json</t>
  </si>
  <si>
    <t>Operating Duration min [days]</t>
  </si>
  <si>
    <t>Operating Duration max [days]</t>
  </si>
  <si>
    <t>Malfunction Duration min [days]</t>
  </si>
  <si>
    <t>Malfunction Duration max [days]</t>
  </si>
  <si>
    <t>Unlit Duration min [days]</t>
  </si>
  <si>
    <t>Unlit Duration max [days]</t>
  </si>
  <si>
    <t>Tank Thief Hatch MTTR min [days]</t>
  </si>
  <si>
    <t>Tank Thief Hatch MTTR max [days]</t>
  </si>
  <si>
    <t>Tank Battery Vent MTTR min [days]</t>
  </si>
  <si>
    <t>Tank Battery Vent MTTR max [days]</t>
  </si>
  <si>
    <t>Common Single-Unit Vent MTTR Min [days]</t>
  </si>
  <si>
    <t>Common Single-Unit Vent MTTR Max [days]</t>
  </si>
  <si>
    <t>Seal Vent MTTR Min [days]</t>
  </si>
  <si>
    <t>Seal Vent MTTR Max [days]</t>
  </si>
  <si>
    <t>Seal Vent(Large Emitter) MTTR Min [days]</t>
  </si>
  <si>
    <t>Seal Vent(Large Emitter) MTTR Max [days]</t>
  </si>
  <si>
    <t>Actuator Type [Gas, Electric, Air]</t>
  </si>
  <si>
    <t>Flow Gas Composition</t>
  </si>
  <si>
    <t>4SRB</t>
  </si>
  <si>
    <t>Combustion GC Name</t>
  </si>
  <si>
    <t>Malfunction Destruction Efficiency</t>
  </si>
  <si>
    <t>Unlit Destruction Efficiency</t>
  </si>
  <si>
    <t>Operating Destruction Efficiency</t>
  </si>
  <si>
    <t>Activity / Emission Factor Name</t>
  </si>
  <si>
    <t>Factor Tag</t>
  </si>
  <si>
    <t>Vapor</t>
  </si>
  <si>
    <t>misc_equipment</t>
  </si>
  <si>
    <t>Number of Thief Hatches</t>
  </si>
  <si>
    <t>Number of Vents</t>
  </si>
  <si>
    <t>Flare_1</t>
  </si>
  <si>
    <t>VRU_1</t>
  </si>
  <si>
    <t>Oil Production [bbl/day]</t>
  </si>
  <si>
    <t>Water Production [bbl/day]</t>
  </si>
  <si>
    <t>Total Liquids Produced [bbl/dump]</t>
  </si>
  <si>
    <t>Mean Production Time [s]</t>
  </si>
  <si>
    <t>Production Time Variation [s]</t>
  </si>
  <si>
    <t>Shut In Time Variation [percent]</t>
  </si>
  <si>
    <t>CycledWell.json</t>
  </si>
  <si>
    <t>input/Studies/C3/C3_Prototypical_sites/CompositionsC3_2stages.csv</t>
  </si>
  <si>
    <t>Stuck Dump Valve Component Count</t>
  </si>
  <si>
    <t>Stuck Dump Valve pLeak</t>
  </si>
  <si>
    <t>Stuck Dump Valve Failure Duration Min [days]</t>
  </si>
  <si>
    <t>Stuck Dump Valve Failure Duration Max [days]</t>
  </si>
  <si>
    <t>Fraction of Flash Released</t>
  </si>
  <si>
    <t>Overpressure Vents Large Emitter MTTR min [days]</t>
  </si>
  <si>
    <t>Overpressure Vents Large Emitter MTTR max [days]</t>
  </si>
  <si>
    <t>Overpressure Vents Large Emitter pLeak</t>
  </si>
  <si>
    <t>Compressor Power [HP]</t>
  </si>
  <si>
    <t>Compressor Type [Centrifugal, Reciprocating, Other]</t>
  </si>
  <si>
    <t>Operating Fraction</t>
  </si>
  <si>
    <t>NOP Fraction of NOP/NOD</t>
  </si>
  <si>
    <t>Starter Type [Gas, Electric, Air]</t>
  </si>
  <si>
    <t>Starter Event Emission Duration [s]</t>
  </si>
  <si>
    <t>Starter Event Emission Volume [SCF]</t>
  </si>
  <si>
    <t>Blowdown Event Duration [s]</t>
  </si>
  <si>
    <t>Blowdown Event Emission Volume [SCF]</t>
  </si>
  <si>
    <t>Blowdown Vent Component Count</t>
  </si>
  <si>
    <t>Blowdown Vent MTTRMin [days]</t>
  </si>
  <si>
    <t>Blowdown Vent MTTRMax [days]</t>
  </si>
  <si>
    <t>Common Single-Unit Vent Component Count</t>
  </si>
  <si>
    <t>Seal Vent Component Count</t>
  </si>
  <si>
    <t>Seal Vent(Large Emitter) Component Count</t>
  </si>
  <si>
    <t>Compressor Starter Vent Component Count</t>
  </si>
  <si>
    <t>Compressor Starter Vent MTTR Min [days]</t>
  </si>
  <si>
    <t>Compressor Starter Vent MTTR Max [days]</t>
  </si>
  <si>
    <t>Compressor Starter Vent pLeak</t>
  </si>
  <si>
    <t>Common Single-unit Vent(Large Emitter) Component Count</t>
  </si>
  <si>
    <t>Common Single-unit Vent(Large Emitter) MTTR Min [days]</t>
  </si>
  <si>
    <t>Common Single-unit Vent(Large Emitter) MTTR Max [days]</t>
  </si>
  <si>
    <t>Common Single-unit Vent(Large Emitter) pLeak</t>
  </si>
  <si>
    <t>Electric</t>
  </si>
  <si>
    <t>Compressor.json</t>
  </si>
  <si>
    <t>Recip</t>
  </si>
  <si>
    <t>condensate_flow</t>
  </si>
  <si>
    <t>stuck_dump_valve_vapor</t>
  </si>
  <si>
    <t>condensate_flash</t>
  </si>
  <si>
    <t>water_flash</t>
  </si>
  <si>
    <t>Continuous Separators</t>
  </si>
  <si>
    <t>ContinuousSeparator.json</t>
  </si>
  <si>
    <t>Overpressure Vents Large Emitter Threshold [scfh]</t>
  </si>
  <si>
    <t>Inlet Flow At Max Primary Flow [scfh]</t>
  </si>
  <si>
    <t>Max Primary Outlet Flow [scfh]</t>
  </si>
  <si>
    <t>123-9E26</t>
  </si>
  <si>
    <t xml:space="preserve">Gas </t>
  </si>
  <si>
    <t>Gas</t>
  </si>
  <si>
    <t>tank_flash</t>
  </si>
  <si>
    <t>tank_gas_outlet</t>
  </si>
  <si>
    <t>Default-LeakGc</t>
  </si>
  <si>
    <t>Facility Common Vent [TRUE/FALSE]</t>
  </si>
  <si>
    <t>Common Facility Vent Component Count</t>
  </si>
  <si>
    <t>Common Facility Vent MTTR Min [days]</t>
  </si>
  <si>
    <t>Common Facility Vent MTTR Max [days]</t>
  </si>
  <si>
    <t>Common Facility Vent pLeak</t>
  </si>
  <si>
    <t>Facility Components Large Emitter [TRUE/FALSE]</t>
  </si>
  <si>
    <t>Facility Components (Large Emitter) MTTR Min [days]</t>
  </si>
  <si>
    <t>Facility Components (Large Emitter) MTTR Max [days]</t>
  </si>
  <si>
    <t>Facility Components (Large Emitter) pLeak</t>
  </si>
  <si>
    <t>Facility Vent (Large Emitter) MTTR Min [days]</t>
  </si>
  <si>
    <t>Facility Vent (Large Emitter) MTTR Max [days]</t>
  </si>
  <si>
    <t>Facility Vent (Large Emitter) pLeak</t>
  </si>
  <si>
    <t>MiscWellpad.json</t>
  </si>
  <si>
    <t>Battery Type [Condensate Tank, Water Tank]</t>
  </si>
  <si>
    <t>Fluid [Water, Condensate]</t>
  </si>
  <si>
    <t>Rodpacking</t>
  </si>
  <si>
    <t>Seal Type [Dry, Wet, Rod Packing]</t>
  </si>
  <si>
    <t>Driver Type [Turbine, 4SLB, 2SLB, 4SRB, Electric]</t>
  </si>
  <si>
    <t>Lower Limit[hours]</t>
  </si>
  <si>
    <t>Upper Limit[hours]</t>
  </si>
  <si>
    <t>W1</t>
  </si>
  <si>
    <t>Di per month</t>
  </si>
  <si>
    <t>b Hyperbolic</t>
  </si>
  <si>
    <t>Age months</t>
  </si>
  <si>
    <t>Well.json</t>
  </si>
  <si>
    <t>W5</t>
  </si>
  <si>
    <t>input/Studies/MEET2/TestCompositionsFF.csv</t>
  </si>
  <si>
    <t>W6</t>
  </si>
  <si>
    <t>W7</t>
  </si>
  <si>
    <t>W8</t>
  </si>
  <si>
    <t>W9</t>
  </si>
  <si>
    <t>W10</t>
  </si>
  <si>
    <t>W11</t>
  </si>
  <si>
    <t>W12</t>
  </si>
  <si>
    <t>W13</t>
  </si>
  <si>
    <t>W14</t>
  </si>
  <si>
    <t>W15</t>
  </si>
  <si>
    <t>W16</t>
  </si>
  <si>
    <t>W17</t>
  </si>
  <si>
    <t>W18</t>
  </si>
  <si>
    <t>W19</t>
  </si>
  <si>
    <t>W20</t>
  </si>
  <si>
    <t>W2</t>
  </si>
  <si>
    <t>W3</t>
  </si>
  <si>
    <t>W4</t>
  </si>
  <si>
    <t>ContinuousWells</t>
  </si>
  <si>
    <t>Output Directory Template</t>
  </si>
  <si>
    <t>wellpad</t>
  </si>
  <si>
    <t>wellpad_sep</t>
  </si>
  <si>
    <t>Well-Condensate.Stage1-Flash</t>
  </si>
  <si>
    <t>Well-Condensate.Stage1-Condensate.Stage2-Flash</t>
  </si>
  <si>
    <t>s</t>
  </si>
  <si>
    <t>wellpad_tanks</t>
  </si>
  <si>
    <t>Well-Condensate.Stage1-Condensate.Stage2-Condensate.Tank-Flash</t>
  </si>
  <si>
    <t>Well-Water.Stage1-Water.Stage2-Water.Tank-Flash</t>
  </si>
  <si>
    <t>wellpad_flare</t>
  </si>
  <si>
    <t>Leak GC Name</t>
  </si>
  <si>
    <t>Leak Gas Composition</t>
  </si>
  <si>
    <t>wellpad_misc</t>
  </si>
  <si>
    <t>wellpad_compressor_0to200HP</t>
  </si>
  <si>
    <t>Facility Type</t>
  </si>
  <si>
    <t>Common</t>
  </si>
  <si>
    <t>Production\FlashFractions\FlashFractionsTest.csv</t>
  </si>
  <si>
    <t>Mechanistic Emissions Flag [True, False]</t>
  </si>
  <si>
    <t>Tank Thief Hatch Large Emitter MTTR min [days]</t>
  </si>
  <si>
    <t>Tank Thief Hatch Large Emitter MTTR max [days]</t>
  </si>
  <si>
    <t>Tank Thief Hatch Large Emitter pLeak</t>
  </si>
  <si>
    <t>Tank Battery Vent Large Emitter MTTR min [days]</t>
  </si>
  <si>
    <t>Tank Battery Vent Large Emitter MTTR max [days]</t>
  </si>
  <si>
    <t>Tank Battery Vent Large Emitter pLeak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</si>
</sst>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3">
    <xf numFmtId="0" fontId="0" fillId="0" borderId="0"/>
    <xf numFmtId="0" fontId="4" fillId="2" borderId="0" applyNumberFormat="0" applyBorder="0" applyAlignment="0" applyProtection="0"/>
    <xf numFmtId="0" fontId="6" fillId="0" borderId="0"/>
  </cellStyleXfs>
  <cellXfs count="5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top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7" borderId="0" xfId="0" applyFill="1"/>
    <xf numFmtId="0" fontId="1" fillId="0" borderId="1" xfId="0" applyFont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1" fillId="8" borderId="1" xfId="0" applyFont="1" applyFill="1" applyBorder="1" applyAlignment="1">
      <alignment horizontal="center" vertical="center" wrapText="1"/>
    </xf>
    <xf numFmtId="0" fontId="0" fillId="8" borderId="0" xfId="0" applyFill="1"/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2" fillId="8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0" fillId="8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12" borderId="0" xfId="0" applyFill="1"/>
    <xf numFmtId="0" fontId="0" fillId="11" borderId="0" xfId="0" applyFill="1" applyAlignment="1">
      <alignment horizontal="center"/>
    </xf>
    <xf numFmtId="0" fontId="0" fillId="13" borderId="0" xfId="0" applyFill="1"/>
    <xf numFmtId="0" fontId="0" fillId="14" borderId="0" xfId="0" applyFill="1"/>
    <xf numFmtId="1" fontId="0" fillId="11" borderId="0" xfId="0" applyNumberFormat="1" applyFill="1"/>
    <xf numFmtId="0" fontId="2" fillId="9" borderId="5" xfId="0" applyFont="1" applyFill="1" applyBorder="1" applyAlignment="1">
      <alignment horizontal="center" vertical="center" wrapText="1"/>
    </xf>
    <xf numFmtId="0" fontId="5" fillId="9" borderId="1" xfId="1" applyFont="1" applyFill="1" applyBorder="1" applyAlignment="1">
      <alignment horizontal="center" vertical="center" wrapText="1"/>
    </xf>
    <xf numFmtId="0" fontId="5" fillId="3" borderId="1" xfId="1" applyFont="1" applyFill="1" applyBorder="1" applyAlignment="1">
      <alignment horizontal="center" vertical="center" wrapText="1"/>
    </xf>
    <xf numFmtId="0" fontId="5" fillId="5" borderId="1" xfId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5" borderId="0" xfId="0" applyFont="1" applyFill="1" applyAlignment="1">
      <alignment horizontal="center" vertical="top"/>
    </xf>
    <xf numFmtId="0" fontId="1" fillId="8" borderId="0" xfId="0" applyFont="1" applyFill="1" applyAlignment="1">
      <alignment horizontal="center" vertical="top"/>
    </xf>
  </cellXfs>
  <cellStyles count="3">
    <cellStyle name="Neutral" xfId="1" builtinId="28"/>
    <cellStyle name="Normal" xfId="0" builtinId="0"/>
    <cellStyle name="Normal 3" xfId="2" xr:uid="{DA2933CF-9DF0-4E43-8038-FD545529352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B8" sqref="B8"/>
    </sheetView>
  </sheetViews>
  <sheetFormatPr defaultRowHeight="15" x14ac:dyDescent="0.25"/>
  <cols>
    <col min="1" max="1" width="33.5703125" bestFit="1" customWidth="1"/>
    <col min="2" max="2" width="64.42578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10</v>
      </c>
    </row>
    <row r="3" spans="1:2" x14ac:dyDescent="0.25">
      <c r="A3" t="s">
        <v>3</v>
      </c>
      <c r="B3">
        <v>2</v>
      </c>
    </row>
    <row r="4" spans="1:2" x14ac:dyDescent="0.25">
      <c r="A4" t="s">
        <v>199</v>
      </c>
    </row>
    <row r="5" spans="1:2" x14ac:dyDescent="0.25">
      <c r="A5" t="s">
        <v>54</v>
      </c>
    </row>
    <row r="6" spans="1:2" x14ac:dyDescent="0.25">
      <c r="A6" t="s">
        <v>88</v>
      </c>
    </row>
    <row r="7" spans="1:2" x14ac:dyDescent="0.25">
      <c r="A7" t="s">
        <v>213</v>
      </c>
      <c r="B7" t="s">
        <v>214</v>
      </c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D1" sqref="D1"/>
    </sheetView>
  </sheetViews>
  <sheetFormatPr defaultRowHeight="15" x14ac:dyDescent="0.25"/>
  <cols>
    <col min="1" max="1" width="12.85546875" customWidth="1"/>
    <col min="2" max="2" width="10" bestFit="1" customWidth="1"/>
    <col min="3" max="3" width="10.7109375" customWidth="1"/>
    <col min="4" max="4" width="63.85546875" bestFit="1" customWidth="1"/>
    <col min="5" max="5" width="20" bestFit="1" customWidth="1"/>
  </cols>
  <sheetData>
    <row r="1" spans="1:5" s="11" customFormat="1" x14ac:dyDescent="0.25">
      <c r="A1" s="10" t="s">
        <v>4</v>
      </c>
      <c r="B1" s="17" t="s">
        <v>5</v>
      </c>
      <c r="C1" s="10" t="s">
        <v>6</v>
      </c>
      <c r="D1" s="10" t="s">
        <v>210</v>
      </c>
      <c r="E1" s="10" t="s">
        <v>7</v>
      </c>
    </row>
    <row r="2" spans="1:5" x14ac:dyDescent="0.25">
      <c r="A2" t="s">
        <v>147</v>
      </c>
      <c r="B2">
        <v>40.534137999999999</v>
      </c>
      <c r="C2">
        <v>-104.659159</v>
      </c>
      <c r="D2" t="s">
        <v>103</v>
      </c>
      <c r="E2" t="s">
        <v>59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90304-5371-4DEF-8D7E-371EB1C22F96}">
  <dimension ref="A1:S21"/>
  <sheetViews>
    <sheetView workbookViewId="0">
      <selection activeCell="F25" sqref="F25"/>
    </sheetView>
  </sheetViews>
  <sheetFormatPr defaultRowHeight="15" x14ac:dyDescent="0.25"/>
  <cols>
    <col min="2" max="2" width="15.42578125" bestFit="1" customWidth="1"/>
    <col min="3" max="3" width="10" bestFit="1" customWidth="1"/>
    <col min="5" max="5" width="9.7109375" customWidth="1"/>
    <col min="6" max="8" width="12.28515625" customWidth="1"/>
    <col min="17" max="17" width="19.28515625" bestFit="1" customWidth="1"/>
    <col min="18" max="18" width="63.85546875" bestFit="1" customWidth="1"/>
    <col min="19" max="19" width="9.85546875" bestFit="1" customWidth="1"/>
  </cols>
  <sheetData>
    <row r="1" spans="1:19" s="18" customFormat="1" ht="90" x14ac:dyDescent="0.25">
      <c r="A1" s="18" t="s">
        <v>4</v>
      </c>
      <c r="B1" s="18" t="s">
        <v>7</v>
      </c>
      <c r="C1" s="18" t="s">
        <v>8</v>
      </c>
      <c r="D1" s="18" t="s">
        <v>5</v>
      </c>
      <c r="E1" s="18" t="s">
        <v>6</v>
      </c>
      <c r="F1" s="13" t="s">
        <v>63</v>
      </c>
      <c r="G1" s="13" t="s">
        <v>9</v>
      </c>
      <c r="H1" s="13" t="s">
        <v>10</v>
      </c>
      <c r="I1" s="18" t="s">
        <v>96</v>
      </c>
      <c r="J1" s="18" t="s">
        <v>97</v>
      </c>
      <c r="K1" s="18" t="s">
        <v>98</v>
      </c>
      <c r="L1" s="18" t="s">
        <v>99</v>
      </c>
      <c r="M1" s="18" t="s">
        <v>100</v>
      </c>
      <c r="N1" s="18" t="s">
        <v>101</v>
      </c>
      <c r="O1" s="18" t="s">
        <v>81</v>
      </c>
      <c r="P1" s="18" t="s">
        <v>46</v>
      </c>
      <c r="Q1" s="18" t="s">
        <v>209</v>
      </c>
      <c r="R1" s="18" t="s">
        <v>82</v>
      </c>
      <c r="S1" s="18" t="s">
        <v>89</v>
      </c>
    </row>
    <row r="2" spans="1:19" x14ac:dyDescent="0.25">
      <c r="A2" t="s">
        <v>147</v>
      </c>
      <c r="B2" t="s">
        <v>102</v>
      </c>
      <c r="C2" t="s">
        <v>173</v>
      </c>
      <c r="D2">
        <v>0</v>
      </c>
      <c r="E2">
        <v>0</v>
      </c>
      <c r="F2" s="7">
        <v>365</v>
      </c>
      <c r="G2" s="7">
        <v>48</v>
      </c>
      <c r="H2" s="7">
        <v>5.0000000000000001E-3</v>
      </c>
      <c r="I2">
        <v>29.917040358744401</v>
      </c>
      <c r="J2">
        <v>7.6300448430493297</v>
      </c>
      <c r="K2">
        <v>1</v>
      </c>
      <c r="L2">
        <v>38</v>
      </c>
      <c r="M2">
        <v>8</v>
      </c>
      <c r="N2">
        <v>20</v>
      </c>
      <c r="O2" t="s">
        <v>148</v>
      </c>
      <c r="P2" t="s">
        <v>47</v>
      </c>
      <c r="Q2" t="s">
        <v>152</v>
      </c>
      <c r="R2" t="s">
        <v>103</v>
      </c>
      <c r="S2" t="s">
        <v>200</v>
      </c>
    </row>
    <row r="3" spans="1:19" x14ac:dyDescent="0.25">
      <c r="A3" t="s">
        <v>147</v>
      </c>
      <c r="B3" t="s">
        <v>102</v>
      </c>
      <c r="C3" t="s">
        <v>195</v>
      </c>
      <c r="D3">
        <v>0</v>
      </c>
      <c r="E3">
        <v>0</v>
      </c>
      <c r="F3" s="7">
        <v>365</v>
      </c>
      <c r="G3" s="7">
        <v>48</v>
      </c>
      <c r="H3" s="7">
        <v>5.0000000000000001E-3</v>
      </c>
      <c r="I3">
        <v>29.917040358744401</v>
      </c>
      <c r="J3">
        <v>7.6300448430493297</v>
      </c>
      <c r="K3">
        <v>1</v>
      </c>
      <c r="L3">
        <v>38</v>
      </c>
      <c r="M3">
        <v>8</v>
      </c>
      <c r="N3">
        <v>20</v>
      </c>
      <c r="O3" t="s">
        <v>148</v>
      </c>
      <c r="P3" t="s">
        <v>47</v>
      </c>
      <c r="Q3" t="s">
        <v>152</v>
      </c>
      <c r="R3" t="s">
        <v>103</v>
      </c>
      <c r="S3" t="s">
        <v>200</v>
      </c>
    </row>
    <row r="4" spans="1:19" x14ac:dyDescent="0.25">
      <c r="A4" t="s">
        <v>147</v>
      </c>
      <c r="B4" t="s">
        <v>102</v>
      </c>
      <c r="C4" t="s">
        <v>196</v>
      </c>
      <c r="D4">
        <v>0</v>
      </c>
      <c r="E4">
        <v>0</v>
      </c>
      <c r="F4" s="7">
        <v>365</v>
      </c>
      <c r="G4" s="7">
        <v>48</v>
      </c>
      <c r="H4" s="7">
        <v>5.0000000000000001E-3</v>
      </c>
      <c r="I4">
        <v>29.917040358744401</v>
      </c>
      <c r="J4">
        <v>7.6300448430493297</v>
      </c>
      <c r="K4">
        <v>1</v>
      </c>
      <c r="L4">
        <v>38</v>
      </c>
      <c r="M4">
        <v>8</v>
      </c>
      <c r="N4">
        <v>20</v>
      </c>
      <c r="O4" t="s">
        <v>148</v>
      </c>
      <c r="P4" t="s">
        <v>47</v>
      </c>
      <c r="Q4" t="s">
        <v>152</v>
      </c>
      <c r="R4" t="s">
        <v>103</v>
      </c>
      <c r="S4" t="s">
        <v>200</v>
      </c>
    </row>
    <row r="5" spans="1:19" x14ac:dyDescent="0.25">
      <c r="A5" t="s">
        <v>147</v>
      </c>
      <c r="B5" t="s">
        <v>102</v>
      </c>
      <c r="C5" t="s">
        <v>197</v>
      </c>
      <c r="D5">
        <v>0</v>
      </c>
      <c r="E5">
        <v>0</v>
      </c>
      <c r="F5" s="7">
        <v>365</v>
      </c>
      <c r="G5" s="7">
        <v>48</v>
      </c>
      <c r="H5" s="7">
        <v>5.0000000000000001E-3</v>
      </c>
      <c r="I5">
        <v>29.917040358744401</v>
      </c>
      <c r="J5">
        <v>7.6300448430493297</v>
      </c>
      <c r="K5">
        <v>1</v>
      </c>
      <c r="L5">
        <v>38</v>
      </c>
      <c r="M5">
        <v>8</v>
      </c>
      <c r="N5">
        <v>20</v>
      </c>
      <c r="O5" t="s">
        <v>148</v>
      </c>
      <c r="P5" t="s">
        <v>47</v>
      </c>
      <c r="Q5" t="s">
        <v>152</v>
      </c>
      <c r="R5" t="s">
        <v>103</v>
      </c>
      <c r="S5" t="s">
        <v>200</v>
      </c>
    </row>
    <row r="6" spans="1:19" x14ac:dyDescent="0.25">
      <c r="A6" t="s">
        <v>147</v>
      </c>
      <c r="B6" t="s">
        <v>102</v>
      </c>
      <c r="C6" t="s">
        <v>178</v>
      </c>
      <c r="D6">
        <v>0</v>
      </c>
      <c r="E6">
        <v>0</v>
      </c>
      <c r="F6" s="7">
        <v>365</v>
      </c>
      <c r="G6" s="7">
        <v>48</v>
      </c>
      <c r="H6" s="7">
        <v>5.0000000000000001E-3</v>
      </c>
      <c r="I6">
        <v>29.917040358744401</v>
      </c>
      <c r="J6">
        <v>7.6300448430493297</v>
      </c>
      <c r="K6">
        <v>1</v>
      </c>
      <c r="L6">
        <v>38</v>
      </c>
      <c r="M6">
        <v>8</v>
      </c>
      <c r="N6">
        <v>20</v>
      </c>
      <c r="O6" t="s">
        <v>148</v>
      </c>
      <c r="P6" t="s">
        <v>47</v>
      </c>
      <c r="Q6" t="s">
        <v>152</v>
      </c>
      <c r="R6" t="s">
        <v>103</v>
      </c>
      <c r="S6" t="s">
        <v>200</v>
      </c>
    </row>
    <row r="7" spans="1:19" x14ac:dyDescent="0.25">
      <c r="A7" t="s">
        <v>147</v>
      </c>
      <c r="B7" t="s">
        <v>102</v>
      </c>
      <c r="C7" t="s">
        <v>180</v>
      </c>
      <c r="D7">
        <v>0</v>
      </c>
      <c r="E7">
        <v>0</v>
      </c>
      <c r="F7" s="7">
        <v>365</v>
      </c>
      <c r="G7" s="7">
        <v>48</v>
      </c>
      <c r="H7" s="7">
        <v>5.0000000000000001E-3</v>
      </c>
      <c r="I7">
        <v>29.917040358744401</v>
      </c>
      <c r="J7">
        <v>7.6300448430493297</v>
      </c>
      <c r="K7">
        <v>1</v>
      </c>
      <c r="L7">
        <v>38</v>
      </c>
      <c r="M7">
        <v>8</v>
      </c>
      <c r="N7">
        <v>20</v>
      </c>
      <c r="O7" t="s">
        <v>148</v>
      </c>
      <c r="P7" t="s">
        <v>47</v>
      </c>
      <c r="Q7" t="s">
        <v>152</v>
      </c>
      <c r="R7" t="s">
        <v>103</v>
      </c>
      <c r="S7" t="s">
        <v>200</v>
      </c>
    </row>
    <row r="8" spans="1:19" x14ac:dyDescent="0.25">
      <c r="A8" t="s">
        <v>147</v>
      </c>
      <c r="B8" t="s">
        <v>102</v>
      </c>
      <c r="C8" t="s">
        <v>181</v>
      </c>
      <c r="D8">
        <v>0</v>
      </c>
      <c r="E8">
        <v>0</v>
      </c>
      <c r="F8" s="7">
        <v>365</v>
      </c>
      <c r="G8" s="7">
        <v>48</v>
      </c>
      <c r="H8" s="7">
        <v>5.0000000000000001E-3</v>
      </c>
      <c r="I8">
        <v>29.917040358744401</v>
      </c>
      <c r="J8">
        <v>7.6300448430493297</v>
      </c>
      <c r="K8">
        <v>1</v>
      </c>
      <c r="L8">
        <v>38</v>
      </c>
      <c r="M8">
        <v>8</v>
      </c>
      <c r="N8">
        <v>20</v>
      </c>
      <c r="O8" t="s">
        <v>148</v>
      </c>
      <c r="P8" t="s">
        <v>47</v>
      </c>
      <c r="Q8" t="s">
        <v>152</v>
      </c>
      <c r="R8" t="s">
        <v>103</v>
      </c>
      <c r="S8" t="s">
        <v>200</v>
      </c>
    </row>
    <row r="9" spans="1:19" x14ac:dyDescent="0.25">
      <c r="A9" t="s">
        <v>147</v>
      </c>
      <c r="B9" t="s">
        <v>102</v>
      </c>
      <c r="C9" t="s">
        <v>182</v>
      </c>
      <c r="D9">
        <v>0</v>
      </c>
      <c r="E9">
        <v>0</v>
      </c>
      <c r="F9" s="7">
        <v>365</v>
      </c>
      <c r="G9" s="7">
        <v>48</v>
      </c>
      <c r="H9" s="7">
        <v>5.0000000000000001E-3</v>
      </c>
      <c r="I9">
        <v>29.917040358744401</v>
      </c>
      <c r="J9">
        <v>7.6300448430493297</v>
      </c>
      <c r="K9">
        <v>1</v>
      </c>
      <c r="L9">
        <v>38</v>
      </c>
      <c r="M9">
        <v>8</v>
      </c>
      <c r="N9">
        <v>20</v>
      </c>
      <c r="O9" t="s">
        <v>148</v>
      </c>
      <c r="P9" t="s">
        <v>47</v>
      </c>
      <c r="Q9" t="s">
        <v>152</v>
      </c>
      <c r="R9" t="s">
        <v>103</v>
      </c>
      <c r="S9" t="s">
        <v>200</v>
      </c>
    </row>
    <row r="10" spans="1:19" x14ac:dyDescent="0.25">
      <c r="A10" t="s">
        <v>147</v>
      </c>
      <c r="B10" t="s">
        <v>102</v>
      </c>
      <c r="C10" t="s">
        <v>183</v>
      </c>
      <c r="D10">
        <v>0</v>
      </c>
      <c r="E10">
        <v>0</v>
      </c>
      <c r="F10" s="7">
        <v>365</v>
      </c>
      <c r="G10" s="7">
        <v>48</v>
      </c>
      <c r="H10" s="7">
        <v>5.0000000000000001E-3</v>
      </c>
      <c r="I10">
        <v>29.917040358744401</v>
      </c>
      <c r="J10">
        <v>7.6300448430493297</v>
      </c>
      <c r="K10">
        <v>1</v>
      </c>
      <c r="L10">
        <v>38</v>
      </c>
      <c r="M10">
        <v>8</v>
      </c>
      <c r="N10">
        <v>20</v>
      </c>
      <c r="O10" t="s">
        <v>148</v>
      </c>
      <c r="P10" t="s">
        <v>47</v>
      </c>
      <c r="Q10" t="s">
        <v>152</v>
      </c>
      <c r="R10" t="s">
        <v>103</v>
      </c>
      <c r="S10" t="s">
        <v>200</v>
      </c>
    </row>
    <row r="11" spans="1:19" x14ac:dyDescent="0.25">
      <c r="A11" t="s">
        <v>147</v>
      </c>
      <c r="B11" t="s">
        <v>102</v>
      </c>
      <c r="C11" t="s">
        <v>184</v>
      </c>
      <c r="D11">
        <v>0</v>
      </c>
      <c r="E11">
        <v>0</v>
      </c>
      <c r="F11" s="7">
        <v>365</v>
      </c>
      <c r="G11" s="7">
        <v>48</v>
      </c>
      <c r="H11" s="7">
        <v>5.0000000000000001E-3</v>
      </c>
      <c r="I11">
        <v>29.917040358744401</v>
      </c>
      <c r="J11">
        <v>7.6300448430493297</v>
      </c>
      <c r="K11">
        <v>1</v>
      </c>
      <c r="L11">
        <v>38</v>
      </c>
      <c r="M11">
        <v>8</v>
      </c>
      <c r="N11">
        <v>20</v>
      </c>
      <c r="O11" t="s">
        <v>148</v>
      </c>
      <c r="P11" t="s">
        <v>47</v>
      </c>
      <c r="Q11" t="s">
        <v>152</v>
      </c>
      <c r="R11" t="s">
        <v>103</v>
      </c>
      <c r="S11" t="s">
        <v>200</v>
      </c>
    </row>
    <row r="12" spans="1:19" x14ac:dyDescent="0.25">
      <c r="A12" t="s">
        <v>147</v>
      </c>
      <c r="B12" t="s">
        <v>102</v>
      </c>
      <c r="C12" t="s">
        <v>185</v>
      </c>
      <c r="D12">
        <v>0</v>
      </c>
      <c r="E12">
        <v>0</v>
      </c>
      <c r="F12" s="7">
        <v>365</v>
      </c>
      <c r="G12" s="7">
        <v>48</v>
      </c>
      <c r="H12" s="7">
        <v>5.0000000000000001E-3</v>
      </c>
      <c r="I12">
        <v>29.917040358744401</v>
      </c>
      <c r="J12">
        <v>7.6300448430493297</v>
      </c>
      <c r="K12">
        <v>1</v>
      </c>
      <c r="L12">
        <v>38</v>
      </c>
      <c r="M12">
        <v>8</v>
      </c>
      <c r="N12">
        <v>20</v>
      </c>
      <c r="O12" t="s">
        <v>148</v>
      </c>
      <c r="P12" t="s">
        <v>47</v>
      </c>
      <c r="Q12" t="s">
        <v>152</v>
      </c>
      <c r="R12" t="s">
        <v>103</v>
      </c>
      <c r="S12" t="s">
        <v>200</v>
      </c>
    </row>
    <row r="13" spans="1:19" x14ac:dyDescent="0.25">
      <c r="A13" t="s">
        <v>147</v>
      </c>
      <c r="B13" t="s">
        <v>102</v>
      </c>
      <c r="C13" t="s">
        <v>186</v>
      </c>
      <c r="D13">
        <v>0</v>
      </c>
      <c r="E13">
        <v>0</v>
      </c>
      <c r="F13" s="7">
        <v>365</v>
      </c>
      <c r="G13" s="7">
        <v>48</v>
      </c>
      <c r="H13" s="7">
        <v>5.0000000000000001E-3</v>
      </c>
      <c r="I13">
        <v>29.917040358744401</v>
      </c>
      <c r="J13">
        <v>7.6300448430493297</v>
      </c>
      <c r="K13">
        <v>1</v>
      </c>
      <c r="L13">
        <v>38</v>
      </c>
      <c r="M13">
        <v>8</v>
      </c>
      <c r="N13">
        <v>20</v>
      </c>
      <c r="O13" t="s">
        <v>148</v>
      </c>
      <c r="P13" t="s">
        <v>47</v>
      </c>
      <c r="Q13" t="s">
        <v>152</v>
      </c>
      <c r="R13" t="s">
        <v>103</v>
      </c>
      <c r="S13" t="s">
        <v>200</v>
      </c>
    </row>
    <row r="14" spans="1:19" x14ac:dyDescent="0.25">
      <c r="A14" t="s">
        <v>147</v>
      </c>
      <c r="B14" t="s">
        <v>102</v>
      </c>
      <c r="C14" t="s">
        <v>187</v>
      </c>
      <c r="D14">
        <v>0</v>
      </c>
      <c r="E14">
        <v>0</v>
      </c>
      <c r="F14" s="7">
        <v>365</v>
      </c>
      <c r="G14" s="7">
        <v>48</v>
      </c>
      <c r="H14" s="7">
        <v>5.0000000000000001E-3</v>
      </c>
      <c r="I14">
        <v>29.917040358744401</v>
      </c>
      <c r="J14">
        <v>7.6300448430493297</v>
      </c>
      <c r="K14">
        <v>1</v>
      </c>
      <c r="L14">
        <v>38</v>
      </c>
      <c r="M14">
        <v>8</v>
      </c>
      <c r="N14">
        <v>20</v>
      </c>
      <c r="O14" t="s">
        <v>148</v>
      </c>
      <c r="P14" t="s">
        <v>47</v>
      </c>
      <c r="Q14" t="s">
        <v>152</v>
      </c>
      <c r="R14" t="s">
        <v>103</v>
      </c>
      <c r="S14" t="s">
        <v>200</v>
      </c>
    </row>
    <row r="15" spans="1:19" x14ac:dyDescent="0.25">
      <c r="A15" t="s">
        <v>147</v>
      </c>
      <c r="B15" t="s">
        <v>102</v>
      </c>
      <c r="C15" t="s">
        <v>188</v>
      </c>
      <c r="D15">
        <v>0</v>
      </c>
      <c r="E15">
        <v>0</v>
      </c>
      <c r="F15" s="7">
        <v>365</v>
      </c>
      <c r="G15" s="7">
        <v>48</v>
      </c>
      <c r="H15" s="7">
        <v>5.0000000000000001E-3</v>
      </c>
      <c r="I15">
        <v>29.917040358744401</v>
      </c>
      <c r="J15">
        <v>7.6300448430493297</v>
      </c>
      <c r="K15">
        <v>1</v>
      </c>
      <c r="L15">
        <v>38</v>
      </c>
      <c r="M15">
        <v>8</v>
      </c>
      <c r="N15">
        <v>20</v>
      </c>
      <c r="O15" t="s">
        <v>148</v>
      </c>
      <c r="P15" t="s">
        <v>47</v>
      </c>
      <c r="Q15" t="s">
        <v>152</v>
      </c>
      <c r="R15" t="s">
        <v>103</v>
      </c>
      <c r="S15" t="s">
        <v>200</v>
      </c>
    </row>
    <row r="16" spans="1:19" x14ac:dyDescent="0.25">
      <c r="A16" t="s">
        <v>147</v>
      </c>
      <c r="B16" t="s">
        <v>102</v>
      </c>
      <c r="C16" t="s">
        <v>189</v>
      </c>
      <c r="D16">
        <v>0</v>
      </c>
      <c r="E16">
        <v>0</v>
      </c>
      <c r="F16" s="7">
        <v>365</v>
      </c>
      <c r="G16" s="7">
        <v>48</v>
      </c>
      <c r="H16" s="7">
        <v>5.0000000000000001E-3</v>
      </c>
      <c r="I16">
        <v>29.917040358744401</v>
      </c>
      <c r="J16">
        <v>7.6300448430493297</v>
      </c>
      <c r="K16">
        <v>1</v>
      </c>
      <c r="L16">
        <v>38</v>
      </c>
      <c r="M16">
        <v>8</v>
      </c>
      <c r="N16">
        <v>20</v>
      </c>
      <c r="O16" t="s">
        <v>148</v>
      </c>
      <c r="P16" t="s">
        <v>47</v>
      </c>
      <c r="Q16" t="s">
        <v>152</v>
      </c>
      <c r="R16" t="s">
        <v>103</v>
      </c>
      <c r="S16" t="s">
        <v>200</v>
      </c>
    </row>
    <row r="17" spans="1:19" x14ac:dyDescent="0.25">
      <c r="A17" t="s">
        <v>147</v>
      </c>
      <c r="B17" t="s">
        <v>102</v>
      </c>
      <c r="C17" t="s">
        <v>190</v>
      </c>
      <c r="D17">
        <v>0</v>
      </c>
      <c r="E17">
        <v>0</v>
      </c>
      <c r="F17" s="7">
        <v>365</v>
      </c>
      <c r="G17" s="7">
        <v>48</v>
      </c>
      <c r="H17" s="7">
        <v>5.0000000000000001E-3</v>
      </c>
      <c r="I17">
        <v>29.917040358744401</v>
      </c>
      <c r="J17">
        <v>7.6300448430493297</v>
      </c>
      <c r="K17">
        <v>1</v>
      </c>
      <c r="L17">
        <v>38</v>
      </c>
      <c r="M17">
        <v>8</v>
      </c>
      <c r="N17">
        <v>20</v>
      </c>
      <c r="O17" t="s">
        <v>148</v>
      </c>
      <c r="P17" t="s">
        <v>47</v>
      </c>
      <c r="Q17" t="s">
        <v>152</v>
      </c>
      <c r="R17" t="s">
        <v>103</v>
      </c>
      <c r="S17" t="s">
        <v>200</v>
      </c>
    </row>
    <row r="18" spans="1:19" x14ac:dyDescent="0.25">
      <c r="A18" t="s">
        <v>147</v>
      </c>
      <c r="B18" t="s">
        <v>102</v>
      </c>
      <c r="C18" t="s">
        <v>191</v>
      </c>
      <c r="D18">
        <v>0</v>
      </c>
      <c r="E18">
        <v>0</v>
      </c>
      <c r="F18" s="7">
        <v>365</v>
      </c>
      <c r="G18" s="7">
        <v>48</v>
      </c>
      <c r="H18" s="7">
        <v>5.0000000000000001E-3</v>
      </c>
      <c r="I18">
        <v>29.917040358744401</v>
      </c>
      <c r="J18">
        <v>7.6300448430493297</v>
      </c>
      <c r="K18">
        <v>1</v>
      </c>
      <c r="L18">
        <v>38</v>
      </c>
      <c r="M18">
        <v>8</v>
      </c>
      <c r="N18">
        <v>20</v>
      </c>
      <c r="O18" t="s">
        <v>148</v>
      </c>
      <c r="P18" t="s">
        <v>47</v>
      </c>
      <c r="Q18" t="s">
        <v>152</v>
      </c>
      <c r="R18" t="s">
        <v>103</v>
      </c>
      <c r="S18" t="s">
        <v>200</v>
      </c>
    </row>
    <row r="19" spans="1:19" x14ac:dyDescent="0.25">
      <c r="A19" t="s">
        <v>147</v>
      </c>
      <c r="B19" t="s">
        <v>102</v>
      </c>
      <c r="C19" t="s">
        <v>192</v>
      </c>
      <c r="D19">
        <v>0</v>
      </c>
      <c r="E19">
        <v>0</v>
      </c>
      <c r="F19" s="7">
        <v>365</v>
      </c>
      <c r="G19" s="7">
        <v>48</v>
      </c>
      <c r="H19" s="7">
        <v>5.0000000000000001E-3</v>
      </c>
      <c r="I19">
        <v>29.917040358744401</v>
      </c>
      <c r="J19">
        <v>7.6300448430493297</v>
      </c>
      <c r="K19">
        <v>1</v>
      </c>
      <c r="L19">
        <v>38</v>
      </c>
      <c r="M19">
        <v>8</v>
      </c>
      <c r="N19">
        <v>20</v>
      </c>
      <c r="O19" t="s">
        <v>148</v>
      </c>
      <c r="P19" t="s">
        <v>47</v>
      </c>
      <c r="Q19" t="s">
        <v>152</v>
      </c>
      <c r="R19" t="s">
        <v>103</v>
      </c>
      <c r="S19" t="s">
        <v>200</v>
      </c>
    </row>
    <row r="20" spans="1:19" x14ac:dyDescent="0.25">
      <c r="A20" t="s">
        <v>147</v>
      </c>
      <c r="B20" t="s">
        <v>102</v>
      </c>
      <c r="C20" t="s">
        <v>193</v>
      </c>
      <c r="D20">
        <v>0</v>
      </c>
      <c r="E20">
        <v>0</v>
      </c>
      <c r="F20" s="7">
        <v>365</v>
      </c>
      <c r="G20" s="7">
        <v>48</v>
      </c>
      <c r="H20" s="7">
        <v>5.0000000000000001E-3</v>
      </c>
      <c r="I20">
        <v>29.917040358744401</v>
      </c>
      <c r="J20">
        <v>7.6300448430493297</v>
      </c>
      <c r="K20">
        <v>1</v>
      </c>
      <c r="L20">
        <v>38</v>
      </c>
      <c r="M20">
        <v>8</v>
      </c>
      <c r="N20">
        <v>20</v>
      </c>
      <c r="O20" t="s">
        <v>148</v>
      </c>
      <c r="P20" t="s">
        <v>47</v>
      </c>
      <c r="Q20" t="s">
        <v>152</v>
      </c>
      <c r="R20" t="s">
        <v>103</v>
      </c>
      <c r="S20" t="s">
        <v>200</v>
      </c>
    </row>
    <row r="21" spans="1:19" x14ac:dyDescent="0.25">
      <c r="A21" t="s">
        <v>147</v>
      </c>
      <c r="B21" t="s">
        <v>102</v>
      </c>
      <c r="C21" t="s">
        <v>194</v>
      </c>
      <c r="D21">
        <v>0</v>
      </c>
      <c r="E21">
        <v>0</v>
      </c>
      <c r="F21" s="7">
        <v>365</v>
      </c>
      <c r="G21" s="7">
        <v>48</v>
      </c>
      <c r="H21" s="7">
        <v>5.0000000000000001E-3</v>
      </c>
      <c r="I21">
        <v>29.917040358744401</v>
      </c>
      <c r="J21">
        <v>7.6300448430493297</v>
      </c>
      <c r="K21">
        <v>1</v>
      </c>
      <c r="L21">
        <v>38</v>
      </c>
      <c r="M21">
        <v>8</v>
      </c>
      <c r="N21">
        <v>20</v>
      </c>
      <c r="O21" t="s">
        <v>148</v>
      </c>
      <c r="P21" t="s">
        <v>47</v>
      </c>
      <c r="Q21" t="s">
        <v>152</v>
      </c>
      <c r="R21" t="s">
        <v>103</v>
      </c>
      <c r="S21" t="s">
        <v>200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53AFD-0273-4929-B250-79FB9BA9A7CC}">
  <dimension ref="A1:R21"/>
  <sheetViews>
    <sheetView workbookViewId="0">
      <selection activeCell="F34" sqref="F34"/>
    </sheetView>
  </sheetViews>
  <sheetFormatPr defaultRowHeight="15" x14ac:dyDescent="0.25"/>
  <cols>
    <col min="1" max="1" width="9.5703125" bestFit="1" customWidth="1"/>
    <col min="2" max="2" width="9.42578125" bestFit="1" customWidth="1"/>
    <col min="3" max="3" width="7.140625" bestFit="1" customWidth="1"/>
    <col min="4" max="5" width="10" bestFit="1" customWidth="1"/>
    <col min="6" max="10" width="13.42578125" customWidth="1"/>
    <col min="11" max="11" width="8.5703125" bestFit="1" customWidth="1"/>
    <col min="12" max="12" width="6.85546875" bestFit="1" customWidth="1"/>
    <col min="14" max="14" width="7.7109375" bestFit="1" customWidth="1"/>
    <col min="15" max="15" width="8.7109375" bestFit="1" customWidth="1"/>
    <col min="16" max="16" width="14.5703125" bestFit="1" customWidth="1"/>
    <col min="17" max="17" width="42.85546875" bestFit="1" customWidth="1"/>
  </cols>
  <sheetData>
    <row r="1" spans="1:18" s="11" customFormat="1" ht="75" x14ac:dyDescent="0.25">
      <c r="A1" s="10" t="s">
        <v>4</v>
      </c>
      <c r="B1" s="10" t="s">
        <v>7</v>
      </c>
      <c r="C1" s="10" t="s">
        <v>8</v>
      </c>
      <c r="D1" s="10" t="s">
        <v>5</v>
      </c>
      <c r="E1" s="10" t="s">
        <v>6</v>
      </c>
      <c r="F1" s="39" t="s">
        <v>63</v>
      </c>
      <c r="G1" s="39" t="s">
        <v>9</v>
      </c>
      <c r="H1" s="39" t="s">
        <v>10</v>
      </c>
      <c r="I1" s="33" t="s">
        <v>96</v>
      </c>
      <c r="J1" s="33" t="s">
        <v>97</v>
      </c>
      <c r="K1" s="10" t="s">
        <v>81</v>
      </c>
      <c r="L1" s="10" t="s">
        <v>174</v>
      </c>
      <c r="M1" s="10" t="s">
        <v>175</v>
      </c>
      <c r="N1" s="10" t="s">
        <v>176</v>
      </c>
      <c r="O1" s="10" t="s">
        <v>46</v>
      </c>
      <c r="P1" s="10" t="s">
        <v>209</v>
      </c>
      <c r="Q1" s="10" t="s">
        <v>82</v>
      </c>
      <c r="R1" s="18" t="s">
        <v>89</v>
      </c>
    </row>
    <row r="2" spans="1:18" x14ac:dyDescent="0.25">
      <c r="A2" t="s">
        <v>147</v>
      </c>
      <c r="B2" t="s">
        <v>177</v>
      </c>
      <c r="C2" t="s">
        <v>173</v>
      </c>
      <c r="D2">
        <v>6.2270000000808068E-4</v>
      </c>
      <c r="E2">
        <v>3.6642000000002284E-3</v>
      </c>
      <c r="F2" s="6">
        <v>365</v>
      </c>
      <c r="G2" s="6">
        <v>20</v>
      </c>
      <c r="H2" s="6">
        <v>0.02</v>
      </c>
      <c r="I2" s="28">
        <v>500</v>
      </c>
      <c r="J2" s="28">
        <v>500</v>
      </c>
      <c r="K2" t="s">
        <v>149</v>
      </c>
      <c r="L2">
        <v>0</v>
      </c>
      <c r="M2">
        <v>1E-4</v>
      </c>
      <c r="N2">
        <v>1</v>
      </c>
      <c r="O2" t="s">
        <v>47</v>
      </c>
      <c r="P2" t="s">
        <v>152</v>
      </c>
      <c r="Q2" t="s">
        <v>179</v>
      </c>
      <c r="R2" t="s">
        <v>200</v>
      </c>
    </row>
    <row r="3" spans="1:18" x14ac:dyDescent="0.25">
      <c r="A3" t="s">
        <v>147</v>
      </c>
      <c r="B3" t="s">
        <v>177</v>
      </c>
      <c r="C3" t="s">
        <v>195</v>
      </c>
      <c r="D3">
        <v>6.2270000000808068E-4</v>
      </c>
      <c r="E3">
        <v>3.6642000000002284E-3</v>
      </c>
      <c r="F3" s="6">
        <v>365</v>
      </c>
      <c r="G3" s="6">
        <v>20</v>
      </c>
      <c r="H3" s="6">
        <v>0.02</v>
      </c>
      <c r="I3" s="28">
        <v>500</v>
      </c>
      <c r="J3" s="28">
        <v>500</v>
      </c>
      <c r="K3" t="s">
        <v>149</v>
      </c>
      <c r="L3">
        <v>0</v>
      </c>
      <c r="M3">
        <v>1E-4</v>
      </c>
      <c r="N3">
        <v>1</v>
      </c>
      <c r="O3" t="s">
        <v>47</v>
      </c>
      <c r="P3" t="s">
        <v>152</v>
      </c>
      <c r="Q3" t="s">
        <v>179</v>
      </c>
      <c r="R3" t="s">
        <v>200</v>
      </c>
    </row>
    <row r="4" spans="1:18" x14ac:dyDescent="0.25">
      <c r="A4" t="s">
        <v>147</v>
      </c>
      <c r="B4" t="s">
        <v>177</v>
      </c>
      <c r="C4" t="s">
        <v>196</v>
      </c>
      <c r="D4">
        <v>6.2270000000808068E-4</v>
      </c>
      <c r="E4">
        <v>3.6642000000002284E-3</v>
      </c>
      <c r="F4" s="6">
        <v>365</v>
      </c>
      <c r="G4" s="6">
        <v>20</v>
      </c>
      <c r="H4" s="6">
        <v>0.02</v>
      </c>
      <c r="I4" s="28">
        <v>500</v>
      </c>
      <c r="J4" s="28">
        <v>500</v>
      </c>
      <c r="K4" t="s">
        <v>149</v>
      </c>
      <c r="L4">
        <v>0</v>
      </c>
      <c r="M4">
        <v>1E-4</v>
      </c>
      <c r="N4">
        <v>1</v>
      </c>
      <c r="O4" t="s">
        <v>47</v>
      </c>
      <c r="P4" t="s">
        <v>152</v>
      </c>
      <c r="Q4" t="s">
        <v>179</v>
      </c>
      <c r="R4" t="s">
        <v>200</v>
      </c>
    </row>
    <row r="5" spans="1:18" x14ac:dyDescent="0.25">
      <c r="A5" t="s">
        <v>147</v>
      </c>
      <c r="B5" t="s">
        <v>177</v>
      </c>
      <c r="C5" t="s">
        <v>197</v>
      </c>
      <c r="D5">
        <v>6.2270000000808068E-4</v>
      </c>
      <c r="E5">
        <v>3.6642000000002284E-3</v>
      </c>
      <c r="F5" s="6">
        <v>365</v>
      </c>
      <c r="G5" s="6">
        <v>20</v>
      </c>
      <c r="H5" s="6">
        <v>0.02</v>
      </c>
      <c r="I5" s="28">
        <v>500</v>
      </c>
      <c r="J5" s="28">
        <v>500</v>
      </c>
      <c r="K5" t="s">
        <v>149</v>
      </c>
      <c r="L5">
        <v>0</v>
      </c>
      <c r="M5">
        <v>1E-4</v>
      </c>
      <c r="N5">
        <v>1</v>
      </c>
      <c r="O5" t="s">
        <v>47</v>
      </c>
      <c r="P5" t="s">
        <v>152</v>
      </c>
      <c r="Q5" t="s">
        <v>179</v>
      </c>
      <c r="R5" t="s">
        <v>200</v>
      </c>
    </row>
    <row r="6" spans="1:18" x14ac:dyDescent="0.25">
      <c r="A6" t="s">
        <v>147</v>
      </c>
      <c r="B6" t="s">
        <v>177</v>
      </c>
      <c r="C6" t="s">
        <v>178</v>
      </c>
      <c r="D6">
        <v>6.2270000000808068E-4</v>
      </c>
      <c r="E6">
        <v>3.6642000000002284E-3</v>
      </c>
      <c r="F6" s="6">
        <v>365</v>
      </c>
      <c r="G6" s="6">
        <v>20</v>
      </c>
      <c r="H6" s="6">
        <v>0.02</v>
      </c>
      <c r="I6" s="28">
        <v>500</v>
      </c>
      <c r="J6" s="28">
        <v>500</v>
      </c>
      <c r="K6" t="s">
        <v>149</v>
      </c>
      <c r="L6">
        <v>0</v>
      </c>
      <c r="M6">
        <v>1E-4</v>
      </c>
      <c r="N6">
        <v>1</v>
      </c>
      <c r="O6" t="s">
        <v>47</v>
      </c>
      <c r="P6" t="s">
        <v>152</v>
      </c>
      <c r="Q6" t="s">
        <v>179</v>
      </c>
      <c r="R6" t="s">
        <v>200</v>
      </c>
    </row>
    <row r="7" spans="1:18" x14ac:dyDescent="0.25">
      <c r="A7" t="s">
        <v>147</v>
      </c>
      <c r="B7" t="s">
        <v>177</v>
      </c>
      <c r="C7" t="s">
        <v>180</v>
      </c>
      <c r="D7">
        <v>6.2270000000808068E-4</v>
      </c>
      <c r="E7">
        <v>3.6642000000002284E-3</v>
      </c>
      <c r="F7" s="6">
        <v>365</v>
      </c>
      <c r="G7" s="6">
        <v>20</v>
      </c>
      <c r="H7" s="6">
        <v>0.02</v>
      </c>
      <c r="I7" s="28">
        <v>500</v>
      </c>
      <c r="J7" s="28">
        <v>500</v>
      </c>
      <c r="K7" t="s">
        <v>149</v>
      </c>
      <c r="L7">
        <v>0</v>
      </c>
      <c r="M7">
        <v>1E-4</v>
      </c>
      <c r="N7">
        <v>1</v>
      </c>
      <c r="O7" t="s">
        <v>47</v>
      </c>
      <c r="P7" t="s">
        <v>152</v>
      </c>
      <c r="Q7" t="s">
        <v>179</v>
      </c>
      <c r="R7" t="s">
        <v>200</v>
      </c>
    </row>
    <row r="8" spans="1:18" x14ac:dyDescent="0.25">
      <c r="A8" t="s">
        <v>147</v>
      </c>
      <c r="B8" t="s">
        <v>177</v>
      </c>
      <c r="C8" t="s">
        <v>181</v>
      </c>
      <c r="D8">
        <v>6.2270000000808068E-4</v>
      </c>
      <c r="E8">
        <v>3.6642000000002284E-3</v>
      </c>
      <c r="F8" s="6">
        <v>365</v>
      </c>
      <c r="G8" s="6">
        <v>20</v>
      </c>
      <c r="H8" s="6">
        <v>0.02</v>
      </c>
      <c r="I8" s="28">
        <v>500</v>
      </c>
      <c r="J8" s="28">
        <v>500</v>
      </c>
      <c r="K8" t="s">
        <v>149</v>
      </c>
      <c r="L8">
        <v>0</v>
      </c>
      <c r="M8">
        <v>1E-4</v>
      </c>
      <c r="N8">
        <v>1</v>
      </c>
      <c r="O8" t="s">
        <v>47</v>
      </c>
      <c r="P8" t="s">
        <v>152</v>
      </c>
      <c r="Q8" t="s">
        <v>179</v>
      </c>
      <c r="R8" t="s">
        <v>200</v>
      </c>
    </row>
    <row r="9" spans="1:18" x14ac:dyDescent="0.25">
      <c r="A9" t="s">
        <v>147</v>
      </c>
      <c r="B9" t="s">
        <v>177</v>
      </c>
      <c r="C9" t="s">
        <v>182</v>
      </c>
      <c r="D9">
        <v>6.2270000000808068E-4</v>
      </c>
      <c r="E9">
        <v>3.6642000000002284E-3</v>
      </c>
      <c r="F9" s="6">
        <v>365</v>
      </c>
      <c r="G9" s="6">
        <v>20</v>
      </c>
      <c r="H9" s="6">
        <v>0.02</v>
      </c>
      <c r="I9" s="28">
        <v>500</v>
      </c>
      <c r="J9" s="28">
        <v>500</v>
      </c>
      <c r="K9" t="s">
        <v>149</v>
      </c>
      <c r="L9">
        <v>0</v>
      </c>
      <c r="M9">
        <v>1E-4</v>
      </c>
      <c r="N9">
        <v>1</v>
      </c>
      <c r="O9" t="s">
        <v>47</v>
      </c>
      <c r="P9" t="s">
        <v>152</v>
      </c>
      <c r="Q9" t="s">
        <v>179</v>
      </c>
      <c r="R9" t="s">
        <v>200</v>
      </c>
    </row>
    <row r="10" spans="1:18" x14ac:dyDescent="0.25">
      <c r="A10" t="s">
        <v>147</v>
      </c>
      <c r="B10" t="s">
        <v>177</v>
      </c>
      <c r="C10" t="s">
        <v>183</v>
      </c>
      <c r="D10">
        <v>6.2270000000808068E-4</v>
      </c>
      <c r="E10">
        <v>3.6642000000002284E-3</v>
      </c>
      <c r="F10" s="6">
        <v>365</v>
      </c>
      <c r="G10" s="6">
        <v>20</v>
      </c>
      <c r="H10" s="6">
        <v>0.02</v>
      </c>
      <c r="I10" s="28">
        <v>500</v>
      </c>
      <c r="J10" s="28">
        <v>500</v>
      </c>
      <c r="K10" t="s">
        <v>149</v>
      </c>
      <c r="L10">
        <v>0</v>
      </c>
      <c r="M10">
        <v>1E-4</v>
      </c>
      <c r="N10">
        <v>1</v>
      </c>
      <c r="O10" t="s">
        <v>47</v>
      </c>
      <c r="P10" t="s">
        <v>152</v>
      </c>
      <c r="Q10" t="s">
        <v>179</v>
      </c>
      <c r="R10" t="s">
        <v>200</v>
      </c>
    </row>
    <row r="11" spans="1:18" x14ac:dyDescent="0.25">
      <c r="A11" t="s">
        <v>147</v>
      </c>
      <c r="B11" t="s">
        <v>177</v>
      </c>
      <c r="C11" t="s">
        <v>184</v>
      </c>
      <c r="D11">
        <v>6.2270000000808068E-4</v>
      </c>
      <c r="E11">
        <v>3.6642000000002284E-3</v>
      </c>
      <c r="F11" s="6">
        <v>365</v>
      </c>
      <c r="G11" s="6">
        <v>20</v>
      </c>
      <c r="H11" s="6">
        <v>0.02</v>
      </c>
      <c r="I11" s="28">
        <v>500</v>
      </c>
      <c r="J11" s="28">
        <v>500</v>
      </c>
      <c r="K11" t="s">
        <v>149</v>
      </c>
      <c r="L11">
        <v>0</v>
      </c>
      <c r="M11">
        <v>1E-4</v>
      </c>
      <c r="N11">
        <v>1</v>
      </c>
      <c r="O11" t="s">
        <v>47</v>
      </c>
      <c r="P11" t="s">
        <v>152</v>
      </c>
      <c r="Q11" t="s">
        <v>179</v>
      </c>
      <c r="R11" t="s">
        <v>200</v>
      </c>
    </row>
    <row r="12" spans="1:18" x14ac:dyDescent="0.25">
      <c r="A12" t="s">
        <v>147</v>
      </c>
      <c r="B12" t="s">
        <v>177</v>
      </c>
      <c r="C12" t="s">
        <v>185</v>
      </c>
      <c r="D12">
        <v>6.2270000000808068E-4</v>
      </c>
      <c r="E12">
        <v>3.6642000000002284E-3</v>
      </c>
      <c r="F12" s="6">
        <v>365</v>
      </c>
      <c r="G12" s="6">
        <v>20</v>
      </c>
      <c r="H12" s="6">
        <v>0.02</v>
      </c>
      <c r="I12" s="28">
        <v>500</v>
      </c>
      <c r="J12" s="28">
        <v>500</v>
      </c>
      <c r="K12" t="s">
        <v>149</v>
      </c>
      <c r="L12">
        <v>0</v>
      </c>
      <c r="M12">
        <v>1E-4</v>
      </c>
      <c r="N12">
        <v>1</v>
      </c>
      <c r="O12" t="s">
        <v>47</v>
      </c>
      <c r="P12" t="s">
        <v>152</v>
      </c>
      <c r="Q12" t="s">
        <v>179</v>
      </c>
      <c r="R12" t="s">
        <v>200</v>
      </c>
    </row>
    <row r="13" spans="1:18" x14ac:dyDescent="0.25">
      <c r="A13" t="s">
        <v>147</v>
      </c>
      <c r="B13" t="s">
        <v>177</v>
      </c>
      <c r="C13" t="s">
        <v>186</v>
      </c>
      <c r="D13">
        <v>6.2270000000808068E-4</v>
      </c>
      <c r="E13">
        <v>3.6642000000002284E-3</v>
      </c>
      <c r="F13" s="6">
        <v>365</v>
      </c>
      <c r="G13" s="6">
        <v>20</v>
      </c>
      <c r="H13" s="6">
        <v>0.02</v>
      </c>
      <c r="I13" s="28">
        <v>500</v>
      </c>
      <c r="J13" s="28">
        <v>500</v>
      </c>
      <c r="K13" t="s">
        <v>149</v>
      </c>
      <c r="L13">
        <v>0</v>
      </c>
      <c r="M13">
        <v>1E-4</v>
      </c>
      <c r="N13">
        <v>1</v>
      </c>
      <c r="O13" t="s">
        <v>47</v>
      </c>
      <c r="P13" t="s">
        <v>152</v>
      </c>
      <c r="Q13" t="s">
        <v>179</v>
      </c>
      <c r="R13" t="s">
        <v>200</v>
      </c>
    </row>
    <row r="14" spans="1:18" x14ac:dyDescent="0.25">
      <c r="A14" t="s">
        <v>147</v>
      </c>
      <c r="B14" t="s">
        <v>177</v>
      </c>
      <c r="C14" t="s">
        <v>187</v>
      </c>
      <c r="D14">
        <v>6.2270000000808068E-4</v>
      </c>
      <c r="E14">
        <v>3.6642000000002284E-3</v>
      </c>
      <c r="F14" s="6">
        <v>365</v>
      </c>
      <c r="G14" s="6">
        <v>20</v>
      </c>
      <c r="H14" s="6">
        <v>0.02</v>
      </c>
      <c r="I14" s="28">
        <v>500</v>
      </c>
      <c r="J14" s="28">
        <v>500</v>
      </c>
      <c r="K14" t="s">
        <v>149</v>
      </c>
      <c r="L14">
        <v>0</v>
      </c>
      <c r="M14">
        <v>1E-4</v>
      </c>
      <c r="N14">
        <v>1</v>
      </c>
      <c r="O14" t="s">
        <v>47</v>
      </c>
      <c r="P14" t="s">
        <v>152</v>
      </c>
      <c r="Q14" t="s">
        <v>179</v>
      </c>
      <c r="R14" t="s">
        <v>200</v>
      </c>
    </row>
    <row r="15" spans="1:18" x14ac:dyDescent="0.25">
      <c r="A15" t="s">
        <v>147</v>
      </c>
      <c r="B15" t="s">
        <v>177</v>
      </c>
      <c r="C15" t="s">
        <v>188</v>
      </c>
      <c r="D15">
        <v>6.2270000000808068E-4</v>
      </c>
      <c r="E15">
        <v>3.6642000000002284E-3</v>
      </c>
      <c r="F15" s="6">
        <v>365</v>
      </c>
      <c r="G15" s="6">
        <v>20</v>
      </c>
      <c r="H15" s="6">
        <v>0.02</v>
      </c>
      <c r="I15" s="28">
        <v>500</v>
      </c>
      <c r="J15" s="28">
        <v>500</v>
      </c>
      <c r="K15" t="s">
        <v>149</v>
      </c>
      <c r="L15">
        <v>0</v>
      </c>
      <c r="M15">
        <v>1E-4</v>
      </c>
      <c r="N15">
        <v>1</v>
      </c>
      <c r="O15" t="s">
        <v>47</v>
      </c>
      <c r="P15" t="s">
        <v>152</v>
      </c>
      <c r="Q15" t="s">
        <v>179</v>
      </c>
      <c r="R15" t="s">
        <v>200</v>
      </c>
    </row>
    <row r="16" spans="1:18" x14ac:dyDescent="0.25">
      <c r="A16" t="s">
        <v>147</v>
      </c>
      <c r="B16" t="s">
        <v>177</v>
      </c>
      <c r="C16" t="s">
        <v>189</v>
      </c>
      <c r="D16">
        <v>6.2270000000808068E-4</v>
      </c>
      <c r="E16">
        <v>3.6642000000002284E-3</v>
      </c>
      <c r="F16" s="6">
        <v>365</v>
      </c>
      <c r="G16" s="6">
        <v>20</v>
      </c>
      <c r="H16" s="6">
        <v>0.02</v>
      </c>
      <c r="I16" s="28">
        <v>500</v>
      </c>
      <c r="J16" s="28">
        <v>500</v>
      </c>
      <c r="K16" t="s">
        <v>149</v>
      </c>
      <c r="L16">
        <v>0</v>
      </c>
      <c r="M16">
        <v>1E-4</v>
      </c>
      <c r="N16">
        <v>1</v>
      </c>
      <c r="O16" t="s">
        <v>47</v>
      </c>
      <c r="P16" t="s">
        <v>152</v>
      </c>
      <c r="Q16" t="s">
        <v>179</v>
      </c>
      <c r="R16" t="s">
        <v>200</v>
      </c>
    </row>
    <row r="17" spans="1:18" x14ac:dyDescent="0.25">
      <c r="A17" t="s">
        <v>147</v>
      </c>
      <c r="B17" t="s">
        <v>177</v>
      </c>
      <c r="C17" t="s">
        <v>190</v>
      </c>
      <c r="D17">
        <v>6.2270000000808068E-4</v>
      </c>
      <c r="E17">
        <v>3.6642000000002284E-3</v>
      </c>
      <c r="F17" s="6">
        <v>365</v>
      </c>
      <c r="G17" s="6">
        <v>20</v>
      </c>
      <c r="H17" s="6">
        <v>0.02</v>
      </c>
      <c r="I17" s="28">
        <v>500</v>
      </c>
      <c r="J17" s="28">
        <v>500</v>
      </c>
      <c r="K17" t="s">
        <v>149</v>
      </c>
      <c r="L17">
        <v>0</v>
      </c>
      <c r="M17">
        <v>1E-4</v>
      </c>
      <c r="N17">
        <v>1</v>
      </c>
      <c r="O17" t="s">
        <v>47</v>
      </c>
      <c r="P17" t="s">
        <v>152</v>
      </c>
      <c r="Q17" t="s">
        <v>179</v>
      </c>
      <c r="R17" t="s">
        <v>200</v>
      </c>
    </row>
    <row r="18" spans="1:18" x14ac:dyDescent="0.25">
      <c r="A18" t="s">
        <v>147</v>
      </c>
      <c r="B18" t="s">
        <v>177</v>
      </c>
      <c r="C18" t="s">
        <v>191</v>
      </c>
      <c r="D18">
        <v>6.2270000000808068E-4</v>
      </c>
      <c r="E18">
        <v>3.6642000000002284E-3</v>
      </c>
      <c r="F18" s="6">
        <v>365</v>
      </c>
      <c r="G18" s="6">
        <v>20</v>
      </c>
      <c r="H18" s="6">
        <v>0.02</v>
      </c>
      <c r="I18" s="28">
        <v>500</v>
      </c>
      <c r="J18" s="28">
        <v>500</v>
      </c>
      <c r="K18" t="s">
        <v>149</v>
      </c>
      <c r="L18">
        <v>0</v>
      </c>
      <c r="M18">
        <v>1E-4</v>
      </c>
      <c r="N18">
        <v>1</v>
      </c>
      <c r="O18" t="s">
        <v>47</v>
      </c>
      <c r="P18" t="s">
        <v>152</v>
      </c>
      <c r="Q18" t="s">
        <v>179</v>
      </c>
      <c r="R18" t="s">
        <v>200</v>
      </c>
    </row>
    <row r="19" spans="1:18" x14ac:dyDescent="0.25">
      <c r="A19" t="s">
        <v>147</v>
      </c>
      <c r="B19" t="s">
        <v>177</v>
      </c>
      <c r="C19" t="s">
        <v>192</v>
      </c>
      <c r="D19">
        <v>6.2270000000808068E-4</v>
      </c>
      <c r="E19">
        <v>3.6642000000002284E-3</v>
      </c>
      <c r="F19" s="6">
        <v>365</v>
      </c>
      <c r="G19" s="6">
        <v>20</v>
      </c>
      <c r="H19" s="6">
        <v>0.02</v>
      </c>
      <c r="I19" s="28">
        <v>500</v>
      </c>
      <c r="J19" s="28">
        <v>500</v>
      </c>
      <c r="K19" t="s">
        <v>149</v>
      </c>
      <c r="L19">
        <v>0</v>
      </c>
      <c r="M19">
        <v>1E-4</v>
      </c>
      <c r="N19">
        <v>1</v>
      </c>
      <c r="O19" t="s">
        <v>47</v>
      </c>
      <c r="P19" t="s">
        <v>152</v>
      </c>
      <c r="Q19" t="s">
        <v>179</v>
      </c>
      <c r="R19" t="s">
        <v>200</v>
      </c>
    </row>
    <row r="20" spans="1:18" x14ac:dyDescent="0.25">
      <c r="A20" t="s">
        <v>147</v>
      </c>
      <c r="B20" t="s">
        <v>177</v>
      </c>
      <c r="C20" t="s">
        <v>193</v>
      </c>
      <c r="D20">
        <v>6.2270000000808068E-4</v>
      </c>
      <c r="E20">
        <v>3.6642000000002284E-3</v>
      </c>
      <c r="F20" s="6">
        <v>365</v>
      </c>
      <c r="G20" s="6">
        <v>20</v>
      </c>
      <c r="H20" s="6">
        <v>0.02</v>
      </c>
      <c r="I20" s="28">
        <v>500</v>
      </c>
      <c r="J20" s="28">
        <v>500</v>
      </c>
      <c r="K20" t="s">
        <v>149</v>
      </c>
      <c r="L20">
        <v>0</v>
      </c>
      <c r="M20">
        <v>1E-4</v>
      </c>
      <c r="N20">
        <v>1</v>
      </c>
      <c r="O20" t="s">
        <v>47</v>
      </c>
      <c r="P20" t="s">
        <v>152</v>
      </c>
      <c r="Q20" t="s">
        <v>179</v>
      </c>
      <c r="R20" t="s">
        <v>200</v>
      </c>
    </row>
    <row r="21" spans="1:18" x14ac:dyDescent="0.25">
      <c r="A21" t="s">
        <v>147</v>
      </c>
      <c r="B21" t="s">
        <v>177</v>
      </c>
      <c r="C21" t="s">
        <v>194</v>
      </c>
      <c r="D21">
        <v>6.2270000000808068E-4</v>
      </c>
      <c r="E21">
        <v>3.6642000000002284E-3</v>
      </c>
      <c r="F21" s="6">
        <v>365</v>
      </c>
      <c r="G21" s="6">
        <v>20</v>
      </c>
      <c r="H21" s="6">
        <v>0.02</v>
      </c>
      <c r="I21" s="28">
        <v>500</v>
      </c>
      <c r="J21" s="28">
        <v>500</v>
      </c>
      <c r="K21" t="s">
        <v>149</v>
      </c>
      <c r="L21">
        <v>0</v>
      </c>
      <c r="M21">
        <v>1E-4</v>
      </c>
      <c r="N21">
        <v>1</v>
      </c>
      <c r="O21" t="s">
        <v>47</v>
      </c>
      <c r="P21" t="s">
        <v>152</v>
      </c>
      <c r="Q21" t="s">
        <v>179</v>
      </c>
      <c r="R21" t="s">
        <v>200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2"/>
  <sheetViews>
    <sheetView workbookViewId="0">
      <selection activeCell="K22" sqref="K22"/>
    </sheetView>
  </sheetViews>
  <sheetFormatPr defaultRowHeight="15" x14ac:dyDescent="0.25"/>
  <cols>
    <col min="1" max="1" width="9.5703125" bestFit="1" customWidth="1"/>
    <col min="2" max="2" width="24.42578125" bestFit="1" customWidth="1"/>
    <col min="3" max="3" width="12.85546875" bestFit="1" customWidth="1"/>
    <col min="4" max="6" width="11.42578125" bestFit="1" customWidth="1"/>
    <col min="7" max="7" width="13.42578125" style="4" bestFit="1" customWidth="1"/>
    <col min="8" max="8" width="11.42578125" style="4" bestFit="1" customWidth="1"/>
    <col min="9" max="9" width="11.5703125" style="4" bestFit="1" customWidth="1"/>
    <col min="10" max="10" width="12.7109375" style="4" bestFit="1" customWidth="1"/>
    <col min="11" max="11" width="13.140625" style="4" bestFit="1" customWidth="1"/>
    <col min="12" max="12" width="34.85546875" style="4" bestFit="1" customWidth="1"/>
    <col min="13" max="13" width="14" style="4" bestFit="1" customWidth="1"/>
    <col min="14" max="14" width="11.7109375" style="4" bestFit="1" customWidth="1"/>
    <col min="15" max="15" width="47.140625" bestFit="1" customWidth="1"/>
    <col min="16" max="16" width="12.28515625" bestFit="1" customWidth="1"/>
    <col min="17" max="17" width="18.7109375" bestFit="1" customWidth="1"/>
  </cols>
  <sheetData>
    <row r="1" spans="1:16" s="3" customFormat="1" ht="60" x14ac:dyDescent="0.25">
      <c r="A1" s="15" t="s">
        <v>4</v>
      </c>
      <c r="B1" s="15" t="s">
        <v>7</v>
      </c>
      <c r="C1" s="15" t="s">
        <v>8</v>
      </c>
      <c r="D1" s="16" t="s">
        <v>63</v>
      </c>
      <c r="E1" s="16" t="s">
        <v>9</v>
      </c>
      <c r="F1" s="16" t="s">
        <v>10</v>
      </c>
      <c r="G1" s="15" t="s">
        <v>81</v>
      </c>
      <c r="H1" s="19" t="s">
        <v>104</v>
      </c>
      <c r="I1" s="19" t="s">
        <v>105</v>
      </c>
      <c r="J1" s="19" t="s">
        <v>106</v>
      </c>
      <c r="K1" s="19" t="s">
        <v>107</v>
      </c>
      <c r="L1" s="19" t="s">
        <v>108</v>
      </c>
      <c r="M1" s="15" t="s">
        <v>35</v>
      </c>
      <c r="N1" s="15" t="s">
        <v>48</v>
      </c>
      <c r="O1" s="15" t="s">
        <v>209</v>
      </c>
      <c r="P1" s="15" t="s">
        <v>89</v>
      </c>
    </row>
    <row r="2" spans="1:16" x14ac:dyDescent="0.25">
      <c r="A2" t="s">
        <v>147</v>
      </c>
      <c r="B2" t="s">
        <v>143</v>
      </c>
      <c r="C2" t="s">
        <v>36</v>
      </c>
      <c r="D2" s="7">
        <v>365</v>
      </c>
      <c r="E2" s="7">
        <v>62</v>
      </c>
      <c r="F2" s="7">
        <v>5.9867000000000002E-3</v>
      </c>
      <c r="G2" s="4" t="s">
        <v>149</v>
      </c>
      <c r="H2" s="20">
        <v>1</v>
      </c>
      <c r="I2" s="20">
        <v>1E-4</v>
      </c>
      <c r="J2" s="20">
        <v>1</v>
      </c>
      <c r="K2" s="20">
        <v>20</v>
      </c>
      <c r="L2" s="20" t="s">
        <v>215</v>
      </c>
      <c r="M2" s="4">
        <v>1</v>
      </c>
      <c r="N2" s="4" t="s">
        <v>49</v>
      </c>
      <c r="O2" t="s">
        <v>202</v>
      </c>
      <c r="P2" t="s">
        <v>201</v>
      </c>
    </row>
    <row r="3" spans="1:16" x14ac:dyDescent="0.25">
      <c r="H3"/>
      <c r="I3"/>
      <c r="J3"/>
      <c r="K3"/>
      <c r="L3"/>
      <c r="M3"/>
      <c r="N3"/>
    </row>
    <row r="4" spans="1:16" x14ac:dyDescent="0.25">
      <c r="A4" t="s">
        <v>147</v>
      </c>
      <c r="B4" t="s">
        <v>143</v>
      </c>
      <c r="C4" t="s">
        <v>45</v>
      </c>
      <c r="D4" s="7">
        <v>365</v>
      </c>
      <c r="E4" s="7">
        <v>62</v>
      </c>
      <c r="F4" s="7">
        <v>5.9867000000000002E-3</v>
      </c>
      <c r="G4" s="4" t="s">
        <v>149</v>
      </c>
      <c r="H4" s="20">
        <v>1</v>
      </c>
      <c r="I4" s="20">
        <v>1E-4</v>
      </c>
      <c r="J4" s="20">
        <v>1</v>
      </c>
      <c r="K4" s="20">
        <v>25</v>
      </c>
      <c r="L4" s="20" t="s">
        <v>215</v>
      </c>
      <c r="M4" s="4">
        <v>1</v>
      </c>
      <c r="N4" s="4" t="s">
        <v>50</v>
      </c>
      <c r="O4" t="s">
        <v>203</v>
      </c>
      <c r="P4" t="s">
        <v>201</v>
      </c>
    </row>
    <row r="5" spans="1:16" x14ac:dyDescent="0.25">
      <c r="G5"/>
      <c r="H5"/>
      <c r="I5"/>
      <c r="J5"/>
      <c r="K5"/>
      <c r="L5"/>
    </row>
    <row r="12" spans="1:16" x14ac:dyDescent="0.25">
      <c r="O12" t="s">
        <v>204</v>
      </c>
    </row>
  </sheetData>
  <phoneticPr fontId="3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6"/>
  <sheetViews>
    <sheetView topLeftCell="G1" workbookViewId="0">
      <selection activeCell="U3" sqref="U3"/>
    </sheetView>
  </sheetViews>
  <sheetFormatPr defaultRowHeight="15" x14ac:dyDescent="0.25"/>
  <cols>
    <col min="1" max="1" width="9" bestFit="1" customWidth="1"/>
    <col min="2" max="2" width="16" bestFit="1" customWidth="1"/>
    <col min="3" max="5" width="12" customWidth="1"/>
    <col min="6" max="6" width="8.5703125" style="4" bestFit="1" customWidth="1"/>
    <col min="7" max="7" width="14.85546875" bestFit="1" customWidth="1"/>
    <col min="8" max="8" width="19.85546875" bestFit="1" customWidth="1"/>
    <col min="9" max="10" width="13.85546875" customWidth="1"/>
    <col min="11" max="12" width="26.42578125" bestFit="1" customWidth="1"/>
    <col min="13" max="13" width="10" bestFit="1" customWidth="1"/>
    <col min="14" max="14" width="12.7109375" bestFit="1" customWidth="1"/>
    <col min="15" max="17" width="17.85546875" bestFit="1" customWidth="1"/>
    <col min="18" max="18" width="18.140625" bestFit="1" customWidth="1"/>
    <col min="19" max="19" width="18.28515625" bestFit="1" customWidth="1"/>
    <col min="20" max="20" width="18.140625" bestFit="1" customWidth="1"/>
    <col min="21" max="21" width="9.85546875" bestFit="1" customWidth="1"/>
  </cols>
  <sheetData>
    <row r="1" spans="1:21" s="11" customFormat="1" ht="75" x14ac:dyDescent="0.25">
      <c r="A1" s="10" t="s">
        <v>4</v>
      </c>
      <c r="B1" s="10" t="s">
        <v>8</v>
      </c>
      <c r="C1" s="12" t="s">
        <v>63</v>
      </c>
      <c r="D1" s="12" t="s">
        <v>9</v>
      </c>
      <c r="E1" s="12" t="s">
        <v>10</v>
      </c>
      <c r="F1" s="10" t="s">
        <v>81</v>
      </c>
      <c r="G1" s="10" t="s">
        <v>7</v>
      </c>
      <c r="H1" s="10" t="s">
        <v>209</v>
      </c>
      <c r="I1" s="10" t="s">
        <v>153</v>
      </c>
      <c r="J1" s="52" t="s">
        <v>154</v>
      </c>
      <c r="K1" s="53" t="s">
        <v>155</v>
      </c>
      <c r="L1" s="53" t="s">
        <v>156</v>
      </c>
      <c r="M1" s="23" t="s">
        <v>157</v>
      </c>
      <c r="N1" s="10" t="s">
        <v>158</v>
      </c>
      <c r="O1" s="54" t="s">
        <v>159</v>
      </c>
      <c r="P1" s="54" t="s">
        <v>160</v>
      </c>
      <c r="Q1" s="38" t="s">
        <v>161</v>
      </c>
      <c r="R1" s="55" t="s">
        <v>162</v>
      </c>
      <c r="S1" s="55" t="s">
        <v>163</v>
      </c>
      <c r="T1" s="34" t="s">
        <v>164</v>
      </c>
      <c r="U1" s="10" t="s">
        <v>89</v>
      </c>
    </row>
    <row r="2" spans="1:21" x14ac:dyDescent="0.25">
      <c r="A2" t="s">
        <v>147</v>
      </c>
      <c r="B2" t="s">
        <v>91</v>
      </c>
      <c r="C2" s="6">
        <v>200</v>
      </c>
      <c r="D2" s="6">
        <v>365</v>
      </c>
      <c r="E2" s="6">
        <v>3.7499999999999999E-2</v>
      </c>
      <c r="F2" s="4" t="s">
        <v>148</v>
      </c>
      <c r="G2" t="s">
        <v>165</v>
      </c>
      <c r="H2" t="s">
        <v>152</v>
      </c>
      <c r="I2" t="b">
        <v>0</v>
      </c>
      <c r="J2" s="26">
        <v>0</v>
      </c>
      <c r="K2" s="26">
        <v>0</v>
      </c>
      <c r="L2" s="26">
        <v>0</v>
      </c>
      <c r="M2" s="26">
        <v>0.1</v>
      </c>
      <c r="N2" t="b">
        <v>0</v>
      </c>
      <c r="O2" s="6">
        <v>0</v>
      </c>
      <c r="P2" s="6">
        <v>0</v>
      </c>
      <c r="Q2" s="6">
        <v>0.1</v>
      </c>
      <c r="R2" s="8">
        <v>0</v>
      </c>
      <c r="S2" s="8">
        <v>0</v>
      </c>
      <c r="T2" s="8">
        <v>0.1</v>
      </c>
      <c r="U2" t="s">
        <v>211</v>
      </c>
    </row>
    <row r="7" spans="1:21" x14ac:dyDescent="0.25">
      <c r="F7"/>
    </row>
    <row r="8" spans="1:21" x14ac:dyDescent="0.25">
      <c r="F8"/>
    </row>
    <row r="9" spans="1:21" x14ac:dyDescent="0.25">
      <c r="F9"/>
    </row>
    <row r="10" spans="1:21" x14ac:dyDescent="0.25">
      <c r="F10"/>
    </row>
    <row r="11" spans="1:21" x14ac:dyDescent="0.25">
      <c r="F11"/>
    </row>
    <row r="12" spans="1:21" x14ac:dyDescent="0.25">
      <c r="F12"/>
    </row>
    <row r="13" spans="1:21" x14ac:dyDescent="0.25">
      <c r="F13"/>
    </row>
    <row r="14" spans="1:21" x14ac:dyDescent="0.25">
      <c r="F14"/>
    </row>
    <row r="15" spans="1:21" x14ac:dyDescent="0.25">
      <c r="F15"/>
    </row>
    <row r="16" spans="1:21" x14ac:dyDescent="0.25">
      <c r="F16"/>
    </row>
  </sheetData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F3"/>
  <sheetViews>
    <sheetView tabSelected="1" topLeftCell="E1" workbookViewId="0">
      <selection activeCell="L17" sqref="L17"/>
    </sheetView>
  </sheetViews>
  <sheetFormatPr defaultRowHeight="15" x14ac:dyDescent="0.25"/>
  <cols>
    <col min="1" max="1" width="8.7109375" bestFit="1" customWidth="1"/>
    <col min="2" max="2" width="16" bestFit="1" customWidth="1"/>
    <col min="3" max="3" width="19.85546875" bestFit="1" customWidth="1"/>
    <col min="4" max="4" width="26.28515625" bestFit="1" customWidth="1"/>
    <col min="5" max="5" width="24.28515625" bestFit="1" customWidth="1"/>
    <col min="6" max="6" width="12.7109375" bestFit="1" customWidth="1"/>
    <col min="7" max="7" width="11.42578125" bestFit="1" customWidth="1"/>
    <col min="8" max="8" width="22.7109375" bestFit="1" customWidth="1"/>
    <col min="9" max="9" width="11.42578125" bestFit="1" customWidth="1"/>
    <col min="10" max="10" width="15.7109375" bestFit="1" customWidth="1"/>
    <col min="11" max="11" width="16.28515625" bestFit="1" customWidth="1"/>
    <col min="12" max="18" width="16.28515625" customWidth="1"/>
    <col min="19" max="19" width="31.42578125" bestFit="1" customWidth="1"/>
    <col min="20" max="20" width="16.140625" bestFit="1" customWidth="1"/>
    <col min="21" max="21" width="15.7109375" bestFit="1" customWidth="1"/>
    <col min="22" max="22" width="16.85546875" bestFit="1" customWidth="1"/>
    <col min="23" max="23" width="26.85546875" bestFit="1" customWidth="1"/>
    <col min="24" max="24" width="22.7109375" bestFit="1" customWidth="1"/>
    <col min="25" max="25" width="37" bestFit="1" customWidth="1"/>
    <col min="26" max="26" width="34.28515625" customWidth="1"/>
    <col min="27" max="27" width="18.85546875" bestFit="1" customWidth="1"/>
    <col min="28" max="28" width="24.140625" bestFit="1" customWidth="1"/>
    <col min="29" max="29" width="29.140625" bestFit="1" customWidth="1"/>
    <col min="30" max="30" width="29" bestFit="1" customWidth="1"/>
    <col min="31" max="31" width="63.7109375" bestFit="1" customWidth="1"/>
    <col min="32" max="32" width="14" bestFit="1" customWidth="1"/>
  </cols>
  <sheetData>
    <row r="1" spans="1:32" s="11" customFormat="1" ht="40.9" customHeight="1" x14ac:dyDescent="0.25">
      <c r="A1" s="10" t="s">
        <v>4</v>
      </c>
      <c r="B1" s="10" t="s">
        <v>7</v>
      </c>
      <c r="C1" s="10" t="s">
        <v>8</v>
      </c>
      <c r="D1" s="10" t="s">
        <v>81</v>
      </c>
      <c r="E1" s="10" t="s">
        <v>166</v>
      </c>
      <c r="F1" s="21" t="s">
        <v>167</v>
      </c>
      <c r="G1" s="13" t="s">
        <v>9</v>
      </c>
      <c r="H1" s="12" t="s">
        <v>63</v>
      </c>
      <c r="I1" s="12" t="s">
        <v>10</v>
      </c>
      <c r="J1" s="22" t="s">
        <v>92</v>
      </c>
      <c r="K1" s="22" t="s">
        <v>93</v>
      </c>
      <c r="L1" s="22" t="s">
        <v>216</v>
      </c>
      <c r="M1" s="23" t="s">
        <v>71</v>
      </c>
      <c r="N1" s="23" t="s">
        <v>72</v>
      </c>
      <c r="O1" s="23" t="s">
        <v>17</v>
      </c>
      <c r="P1" s="24" t="s">
        <v>73</v>
      </c>
      <c r="Q1" s="24" t="s">
        <v>74</v>
      </c>
      <c r="R1" s="24" t="s">
        <v>18</v>
      </c>
      <c r="S1" s="23" t="s">
        <v>217</v>
      </c>
      <c r="T1" s="23" t="s">
        <v>218</v>
      </c>
      <c r="U1" s="23" t="s">
        <v>219</v>
      </c>
      <c r="V1" s="24" t="s">
        <v>220</v>
      </c>
      <c r="W1" s="24" t="s">
        <v>221</v>
      </c>
      <c r="X1" s="24" t="s">
        <v>222</v>
      </c>
      <c r="Y1" s="25" t="s">
        <v>109</v>
      </c>
      <c r="Z1" s="25" t="s">
        <v>110</v>
      </c>
      <c r="AA1" s="25" t="s">
        <v>111</v>
      </c>
      <c r="AB1" s="25" t="s">
        <v>144</v>
      </c>
      <c r="AC1" s="25" t="s">
        <v>145</v>
      </c>
      <c r="AD1" s="25" t="s">
        <v>146</v>
      </c>
      <c r="AE1" s="10" t="s">
        <v>209</v>
      </c>
      <c r="AF1" s="10" t="s">
        <v>89</v>
      </c>
    </row>
    <row r="2" spans="1:32" x14ac:dyDescent="0.25">
      <c r="A2" t="s">
        <v>147</v>
      </c>
      <c r="B2" t="s">
        <v>64</v>
      </c>
      <c r="C2" t="s">
        <v>30</v>
      </c>
      <c r="D2" s="4" t="s">
        <v>148</v>
      </c>
      <c r="E2" t="s">
        <v>20</v>
      </c>
      <c r="F2" t="s">
        <v>52</v>
      </c>
      <c r="G2" s="7">
        <v>50</v>
      </c>
      <c r="H2" s="7">
        <v>365</v>
      </c>
      <c r="I2" s="7">
        <v>4.3276E-3</v>
      </c>
      <c r="J2">
        <v>8</v>
      </c>
      <c r="K2">
        <v>1</v>
      </c>
      <c r="L2" t="b">
        <v>1</v>
      </c>
      <c r="M2" s="26">
        <v>0</v>
      </c>
      <c r="N2" s="26">
        <v>365</v>
      </c>
      <c r="O2" s="26">
        <v>0.34166999999999997</v>
      </c>
      <c r="P2" s="27">
        <v>0</v>
      </c>
      <c r="Q2" s="27">
        <v>365</v>
      </c>
      <c r="R2" s="27">
        <v>0.14960999999999999</v>
      </c>
      <c r="S2" s="26">
        <v>3</v>
      </c>
      <c r="T2" s="26">
        <v>7</v>
      </c>
      <c r="U2" s="26">
        <v>0.34166999999999997</v>
      </c>
      <c r="V2" s="27">
        <v>7</v>
      </c>
      <c r="W2" s="27">
        <v>7</v>
      </c>
      <c r="X2" s="27">
        <v>0.14960999999999999</v>
      </c>
      <c r="Y2" s="28">
        <v>5</v>
      </c>
      <c r="Z2" s="28">
        <v>15</v>
      </c>
      <c r="AA2" s="28">
        <v>0.1</v>
      </c>
      <c r="AB2" s="51">
        <v>200</v>
      </c>
      <c r="AC2" s="51">
        <v>2500</v>
      </c>
      <c r="AD2" s="51">
        <v>1500</v>
      </c>
      <c r="AE2" t="s">
        <v>207</v>
      </c>
      <c r="AF2" t="s">
        <v>205</v>
      </c>
    </row>
    <row r="3" spans="1:32" x14ac:dyDescent="0.25">
      <c r="A3" t="s">
        <v>147</v>
      </c>
      <c r="B3" t="s">
        <v>64</v>
      </c>
      <c r="C3" t="s">
        <v>31</v>
      </c>
      <c r="D3" s="4" t="s">
        <v>148</v>
      </c>
      <c r="E3" t="s">
        <v>21</v>
      </c>
      <c r="F3" t="s">
        <v>51</v>
      </c>
      <c r="G3" s="7">
        <v>50</v>
      </c>
      <c r="H3" s="7">
        <v>365</v>
      </c>
      <c r="I3" s="7">
        <v>4.3276E-3</v>
      </c>
      <c r="J3">
        <v>26</v>
      </c>
      <c r="K3">
        <v>1</v>
      </c>
      <c r="L3" t="b">
        <v>1</v>
      </c>
      <c r="M3" s="26">
        <v>0</v>
      </c>
      <c r="N3" s="26">
        <v>365</v>
      </c>
      <c r="O3" s="26">
        <v>0.34166999999999997</v>
      </c>
      <c r="P3" s="27">
        <v>0</v>
      </c>
      <c r="Q3" s="27">
        <v>365</v>
      </c>
      <c r="R3" s="27">
        <v>0.14960999999999999</v>
      </c>
      <c r="S3" s="26">
        <v>3</v>
      </c>
      <c r="T3" s="26">
        <v>7</v>
      </c>
      <c r="U3" s="26">
        <v>0.34166999999999997</v>
      </c>
      <c r="V3" s="27">
        <v>7</v>
      </c>
      <c r="W3" s="27">
        <v>7</v>
      </c>
      <c r="X3" s="27">
        <v>0.14960999999999999</v>
      </c>
      <c r="Y3" s="28">
        <v>5</v>
      </c>
      <c r="Z3" s="28">
        <v>15</v>
      </c>
      <c r="AA3" s="28">
        <v>0.1</v>
      </c>
      <c r="AB3" s="51">
        <v>200</v>
      </c>
      <c r="AC3" s="51">
        <v>2500</v>
      </c>
      <c r="AD3" s="51">
        <v>1500</v>
      </c>
      <c r="AE3" t="s">
        <v>206</v>
      </c>
      <c r="AF3" t="s">
        <v>205</v>
      </c>
    </row>
  </sheetData>
  <pageMargins left="0.75" right="0.75" top="1" bottom="1" header="0.5" footer="0.5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X2"/>
  <sheetViews>
    <sheetView topLeftCell="AC1" workbookViewId="0">
      <selection activeCell="AF10" sqref="AF10"/>
    </sheetView>
  </sheetViews>
  <sheetFormatPr defaultRowHeight="15" x14ac:dyDescent="0.25"/>
  <cols>
    <col min="1" max="1" width="8.7109375" bestFit="1" customWidth="1"/>
    <col min="2" max="2" width="7.140625" bestFit="1" customWidth="1"/>
    <col min="3" max="3" width="10.7109375" bestFit="1" customWidth="1"/>
    <col min="4" max="5" width="11.42578125" bestFit="1" customWidth="1"/>
    <col min="6" max="6" width="11.7109375" bestFit="1" customWidth="1"/>
    <col min="7" max="7" width="12.28515625" customWidth="1"/>
    <col min="8" max="8" width="11.5703125" bestFit="1" customWidth="1"/>
    <col min="9" max="9" width="11.140625" bestFit="1" customWidth="1"/>
    <col min="10" max="10" width="12.140625" style="4" bestFit="1" customWidth="1"/>
    <col min="11" max="11" width="8.28515625" bestFit="1" customWidth="1"/>
    <col min="12" max="12" width="11.140625" bestFit="1" customWidth="1"/>
    <col min="13" max="13" width="9.85546875" bestFit="1" customWidth="1"/>
    <col min="14" max="14" width="10.42578125" bestFit="1" customWidth="1"/>
    <col min="15" max="15" width="11.85546875" bestFit="1" customWidth="1"/>
    <col min="16" max="17" width="10.28515625" bestFit="1" customWidth="1"/>
    <col min="18" max="18" width="8.85546875" bestFit="1" customWidth="1"/>
    <col min="19" max="19" width="13.140625" bestFit="1" customWidth="1"/>
    <col min="20" max="20" width="14.28515625" bestFit="1" customWidth="1"/>
    <col min="21" max="21" width="14.42578125" bestFit="1" customWidth="1"/>
    <col min="22" max="22" width="10.7109375" bestFit="1" customWidth="1"/>
    <col min="23" max="24" width="10.42578125" bestFit="1" customWidth="1"/>
    <col min="25" max="25" width="10.85546875" bestFit="1" customWidth="1"/>
    <col min="26" max="26" width="10.7109375" bestFit="1" customWidth="1"/>
    <col min="27" max="27" width="11.42578125" bestFit="1" customWidth="1"/>
    <col min="28" max="28" width="11" bestFit="1" customWidth="1"/>
    <col min="29" max="30" width="15.7109375" bestFit="1" customWidth="1"/>
    <col min="31" max="31" width="11.42578125" bestFit="1" customWidth="1"/>
    <col min="32" max="32" width="10" bestFit="1" customWidth="1"/>
    <col min="33" max="33" width="10.28515625" bestFit="1" customWidth="1"/>
    <col min="34" max="34" width="9.42578125" bestFit="1" customWidth="1"/>
    <col min="35" max="35" width="15" customWidth="1"/>
    <col min="36" max="36" width="9.85546875" bestFit="1" customWidth="1"/>
    <col min="37" max="37" width="9" bestFit="1" customWidth="1"/>
    <col min="38" max="38" width="10" bestFit="1" customWidth="1"/>
    <col min="39" max="42" width="8.85546875" bestFit="1" customWidth="1"/>
    <col min="43" max="45" width="9" bestFit="1" customWidth="1"/>
    <col min="46" max="46" width="10" bestFit="1" customWidth="1"/>
    <col min="47" max="47" width="16" bestFit="1" customWidth="1"/>
    <col min="48" max="48" width="19.7109375" bestFit="1" customWidth="1"/>
    <col min="49" max="49" width="20.7109375" bestFit="1" customWidth="1"/>
    <col min="50" max="50" width="6.42578125" bestFit="1" customWidth="1"/>
  </cols>
  <sheetData>
    <row r="1" spans="1:50" s="56" customFormat="1" ht="135" x14ac:dyDescent="0.25">
      <c r="A1" s="10" t="s">
        <v>4</v>
      </c>
      <c r="B1" s="10" t="s">
        <v>8</v>
      </c>
      <c r="C1" s="12" t="s">
        <v>9</v>
      </c>
      <c r="D1" s="12" t="s">
        <v>63</v>
      </c>
      <c r="E1" s="12" t="s">
        <v>10</v>
      </c>
      <c r="F1" s="19" t="s">
        <v>81</v>
      </c>
      <c r="G1" s="29" t="s">
        <v>169</v>
      </c>
      <c r="H1" s="30" t="s">
        <v>112</v>
      </c>
      <c r="I1" s="30" t="s">
        <v>170</v>
      </c>
      <c r="J1" s="31" t="s">
        <v>113</v>
      </c>
      <c r="K1" s="30" t="s">
        <v>11</v>
      </c>
      <c r="L1" s="30" t="s">
        <v>12</v>
      </c>
      <c r="M1" s="32" t="s">
        <v>114</v>
      </c>
      <c r="N1" s="32" t="s">
        <v>115</v>
      </c>
      <c r="O1" s="32" t="s">
        <v>171</v>
      </c>
      <c r="P1" s="32" t="s">
        <v>172</v>
      </c>
      <c r="Q1" s="33" t="s">
        <v>116</v>
      </c>
      <c r="R1" s="25" t="s">
        <v>117</v>
      </c>
      <c r="S1" s="25" t="s">
        <v>118</v>
      </c>
      <c r="T1" s="10" t="s">
        <v>119</v>
      </c>
      <c r="U1" s="10" t="s">
        <v>120</v>
      </c>
      <c r="V1" s="34" t="s">
        <v>121</v>
      </c>
      <c r="W1" s="35" t="s">
        <v>122</v>
      </c>
      <c r="X1" s="35" t="s">
        <v>123</v>
      </c>
      <c r="Y1" s="35" t="s">
        <v>13</v>
      </c>
      <c r="Z1" s="36" t="s">
        <v>32</v>
      </c>
      <c r="AA1" s="37" t="s">
        <v>124</v>
      </c>
      <c r="AB1" s="23" t="s">
        <v>75</v>
      </c>
      <c r="AC1" s="23" t="s">
        <v>76</v>
      </c>
      <c r="AD1" s="37" t="s">
        <v>14</v>
      </c>
      <c r="AE1" s="38" t="s">
        <v>125</v>
      </c>
      <c r="AF1" s="39" t="s">
        <v>77</v>
      </c>
      <c r="AG1" s="38" t="s">
        <v>78</v>
      </c>
      <c r="AH1" s="39" t="s">
        <v>33</v>
      </c>
      <c r="AI1" s="40" t="s">
        <v>126</v>
      </c>
      <c r="AJ1" s="41" t="s">
        <v>79</v>
      </c>
      <c r="AK1" s="41" t="s">
        <v>80</v>
      </c>
      <c r="AL1" s="41" t="s">
        <v>34</v>
      </c>
      <c r="AM1" s="42" t="s">
        <v>127</v>
      </c>
      <c r="AN1" s="42" t="s">
        <v>128</v>
      </c>
      <c r="AO1" s="42" t="s">
        <v>129</v>
      </c>
      <c r="AP1" s="42" t="s">
        <v>130</v>
      </c>
      <c r="AQ1" s="43" t="s">
        <v>131</v>
      </c>
      <c r="AR1" s="44" t="s">
        <v>132</v>
      </c>
      <c r="AS1" s="44" t="s">
        <v>133</v>
      </c>
      <c r="AT1" s="44" t="s">
        <v>134</v>
      </c>
      <c r="AU1" s="10" t="s">
        <v>7</v>
      </c>
      <c r="AV1" s="36" t="s">
        <v>209</v>
      </c>
      <c r="AW1" s="36" t="s">
        <v>84</v>
      </c>
      <c r="AX1" s="10" t="s">
        <v>89</v>
      </c>
    </row>
    <row r="2" spans="1:50" x14ac:dyDescent="0.25">
      <c r="A2" t="s">
        <v>147</v>
      </c>
      <c r="B2" t="s">
        <v>95</v>
      </c>
      <c r="C2" s="7">
        <v>45</v>
      </c>
      <c r="D2" s="7">
        <v>365</v>
      </c>
      <c r="E2" s="7">
        <v>0.02</v>
      </c>
      <c r="F2" s="45" t="s">
        <v>148</v>
      </c>
      <c r="G2" s="20" t="s">
        <v>168</v>
      </c>
      <c r="H2" s="46">
        <v>87</v>
      </c>
      <c r="I2" s="14" t="s">
        <v>83</v>
      </c>
      <c r="J2" s="46" t="s">
        <v>137</v>
      </c>
      <c r="K2" s="14">
        <v>0.95</v>
      </c>
      <c r="L2" s="14">
        <v>0.9</v>
      </c>
      <c r="M2" s="47">
        <v>0.9</v>
      </c>
      <c r="N2" s="47">
        <v>0.84</v>
      </c>
      <c r="O2" s="47">
        <f>24*21</f>
        <v>504</v>
      </c>
      <c r="P2" s="47">
        <f>24*7*6</f>
        <v>1008</v>
      </c>
      <c r="Q2" s="48" t="s">
        <v>135</v>
      </c>
      <c r="R2" s="28">
        <v>3</v>
      </c>
      <c r="S2" s="28">
        <v>0</v>
      </c>
      <c r="T2">
        <v>90</v>
      </c>
      <c r="U2">
        <v>162.9</v>
      </c>
      <c r="V2" s="8">
        <v>1</v>
      </c>
      <c r="W2" s="8">
        <v>0</v>
      </c>
      <c r="X2" s="8">
        <v>182.5</v>
      </c>
      <c r="Y2" s="8">
        <v>0.21634999999999999</v>
      </c>
      <c r="Z2" t="b">
        <v>1</v>
      </c>
      <c r="AA2" s="26">
        <v>1</v>
      </c>
      <c r="AB2" s="26">
        <v>0</v>
      </c>
      <c r="AC2" s="26">
        <v>182.5</v>
      </c>
      <c r="AD2" s="26">
        <v>8.3141000000000007E-2</v>
      </c>
      <c r="AE2" s="6">
        <v>1</v>
      </c>
      <c r="AF2" s="6">
        <v>0</v>
      </c>
      <c r="AG2" s="6">
        <v>182.5</v>
      </c>
      <c r="AH2" s="6">
        <v>0.47815999999999997</v>
      </c>
      <c r="AI2" s="49">
        <v>1</v>
      </c>
      <c r="AJ2" s="49">
        <v>0</v>
      </c>
      <c r="AK2" s="49">
        <v>121.66670000000001</v>
      </c>
      <c r="AL2" s="49">
        <v>2.6738E-3</v>
      </c>
      <c r="AM2" s="50">
        <v>1</v>
      </c>
      <c r="AN2" s="50">
        <v>0</v>
      </c>
      <c r="AO2" s="50">
        <v>182.5</v>
      </c>
      <c r="AP2" s="50">
        <v>0.11268</v>
      </c>
      <c r="AQ2" s="9">
        <v>1</v>
      </c>
      <c r="AR2" s="9">
        <v>0</v>
      </c>
      <c r="AS2" s="9">
        <v>121.66670000000001</v>
      </c>
      <c r="AT2" s="9">
        <v>2.7855000000000002E-3</v>
      </c>
      <c r="AU2" t="s">
        <v>136</v>
      </c>
      <c r="AV2" t="s">
        <v>152</v>
      </c>
      <c r="AW2" t="s">
        <v>152</v>
      </c>
      <c r="AX2" t="s">
        <v>212</v>
      </c>
    </row>
  </sheetData>
  <phoneticPr fontId="3" type="noConversion"/>
  <pageMargins left="0.75" right="0.75" top="1" bottom="1" header="0.5" footer="0.5"/>
  <pageSetup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4CBC9-E240-4A6F-BB4B-8DAB1536C2C9}">
  <dimension ref="A1:S2"/>
  <sheetViews>
    <sheetView workbookViewId="0">
      <selection activeCell="M25" sqref="M25"/>
    </sheetView>
  </sheetViews>
  <sheetFormatPr defaultRowHeight="15" x14ac:dyDescent="0.25"/>
  <cols>
    <col min="4" max="4" width="12.28515625" customWidth="1"/>
    <col min="6" max="6" width="10.28515625" customWidth="1"/>
    <col min="9" max="9" width="11.85546875" bestFit="1" customWidth="1"/>
    <col min="13" max="13" width="11.28515625" bestFit="1" customWidth="1"/>
    <col min="16" max="16" width="11.28515625" bestFit="1" customWidth="1"/>
    <col min="18" max="18" width="63.7109375" bestFit="1" customWidth="1"/>
    <col min="19" max="19" width="13.42578125" bestFit="1" customWidth="1"/>
  </cols>
  <sheetData>
    <row r="1" spans="1:19" ht="75" x14ac:dyDescent="0.25">
      <c r="A1" s="15" t="s">
        <v>4</v>
      </c>
      <c r="B1" s="15" t="s">
        <v>8</v>
      </c>
      <c r="C1" s="16" t="s">
        <v>9</v>
      </c>
      <c r="D1" s="16" t="s">
        <v>63</v>
      </c>
      <c r="E1" s="16" t="s">
        <v>10</v>
      </c>
      <c r="F1" s="15" t="s">
        <v>15</v>
      </c>
      <c r="G1" s="15" t="s">
        <v>67</v>
      </c>
      <c r="H1" s="15" t="s">
        <v>68</v>
      </c>
      <c r="I1" s="15" t="s">
        <v>85</v>
      </c>
      <c r="J1" s="15" t="s">
        <v>16</v>
      </c>
      <c r="K1" s="15" t="s">
        <v>69</v>
      </c>
      <c r="L1" s="15" t="s">
        <v>70</v>
      </c>
      <c r="M1" s="15" t="s">
        <v>86</v>
      </c>
      <c r="N1" s="15" t="s">
        <v>65</v>
      </c>
      <c r="O1" s="15" t="s">
        <v>66</v>
      </c>
      <c r="P1" s="15" t="s">
        <v>87</v>
      </c>
      <c r="Q1" s="15" t="s">
        <v>7</v>
      </c>
      <c r="R1" s="15" t="s">
        <v>209</v>
      </c>
      <c r="S1" s="15" t="s">
        <v>89</v>
      </c>
    </row>
    <row r="2" spans="1:19" x14ac:dyDescent="0.25">
      <c r="A2" t="s">
        <v>147</v>
      </c>
      <c r="B2" t="s">
        <v>94</v>
      </c>
      <c r="C2" s="7">
        <v>45</v>
      </c>
      <c r="D2" s="7">
        <v>365</v>
      </c>
      <c r="E2" s="7">
        <v>3.7499999999999999E-2</v>
      </c>
      <c r="F2">
        <v>0.85</v>
      </c>
      <c r="G2">
        <v>1</v>
      </c>
      <c r="H2">
        <v>2</v>
      </c>
      <c r="I2">
        <v>0.9</v>
      </c>
      <c r="J2">
        <v>0.15</v>
      </c>
      <c r="K2">
        <v>1</v>
      </c>
      <c r="L2">
        <v>2</v>
      </c>
      <c r="M2">
        <v>0</v>
      </c>
      <c r="N2">
        <v>2</v>
      </c>
      <c r="O2">
        <v>3</v>
      </c>
      <c r="P2">
        <v>0.98</v>
      </c>
      <c r="Q2" t="s">
        <v>60</v>
      </c>
      <c r="R2" t="s">
        <v>206</v>
      </c>
      <c r="S2" t="s">
        <v>208</v>
      </c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31FE7-5CF0-4155-B869-9951A97BC4D6}">
  <dimension ref="A1:G56"/>
  <sheetViews>
    <sheetView topLeftCell="A25" workbookViewId="0">
      <selection activeCell="G47" sqref="G47"/>
    </sheetView>
  </sheetViews>
  <sheetFormatPr defaultRowHeight="15" x14ac:dyDescent="0.25"/>
  <cols>
    <col min="1" max="1" width="10.85546875" bestFit="1" customWidth="1"/>
    <col min="2" max="2" width="15.42578125" bestFit="1" customWidth="1"/>
    <col min="3" max="3" width="16.28515625" bestFit="1" customWidth="1"/>
    <col min="4" max="4" width="13.85546875" bestFit="1" customWidth="1"/>
    <col min="5" max="5" width="19.85546875" bestFit="1" customWidth="1"/>
    <col min="6" max="6" width="11.5703125" bestFit="1" customWidth="1"/>
    <col min="7" max="7" width="23.85546875" bestFit="1" customWidth="1"/>
  </cols>
  <sheetData>
    <row r="1" spans="1:7" x14ac:dyDescent="0.25">
      <c r="A1" s="1" t="s">
        <v>7</v>
      </c>
      <c r="B1" s="1" t="s">
        <v>39</v>
      </c>
      <c r="C1" s="1" t="s">
        <v>40</v>
      </c>
      <c r="D1" s="1" t="s">
        <v>41</v>
      </c>
      <c r="E1" s="1" t="s">
        <v>42</v>
      </c>
      <c r="F1" s="5" t="s">
        <v>43</v>
      </c>
      <c r="G1" s="5" t="s">
        <v>44</v>
      </c>
    </row>
    <row r="2" spans="1:7" x14ac:dyDescent="0.25">
      <c r="A2" s="8" t="s">
        <v>61</v>
      </c>
      <c r="B2" s="8" t="s">
        <v>147</v>
      </c>
      <c r="C2" s="8" t="s">
        <v>173</v>
      </c>
      <c r="D2" s="8" t="s">
        <v>147</v>
      </c>
      <c r="E2" s="8" t="s">
        <v>36</v>
      </c>
      <c r="F2" s="8" t="s">
        <v>51</v>
      </c>
      <c r="G2" s="57"/>
    </row>
    <row r="3" spans="1:7" x14ac:dyDescent="0.25">
      <c r="A3" s="8" t="s">
        <v>61</v>
      </c>
      <c r="B3" s="8" t="s">
        <v>147</v>
      </c>
      <c r="C3" s="8" t="s">
        <v>195</v>
      </c>
      <c r="D3" s="8" t="s">
        <v>147</v>
      </c>
      <c r="E3" s="8" t="s">
        <v>36</v>
      </c>
      <c r="F3" s="8" t="s">
        <v>51</v>
      </c>
      <c r="G3" s="8"/>
    </row>
    <row r="4" spans="1:7" x14ac:dyDescent="0.25">
      <c r="A4" s="8" t="s">
        <v>61</v>
      </c>
      <c r="B4" s="8" t="s">
        <v>147</v>
      </c>
      <c r="C4" s="8" t="s">
        <v>196</v>
      </c>
      <c r="D4" s="8" t="s">
        <v>147</v>
      </c>
      <c r="E4" s="8" t="s">
        <v>36</v>
      </c>
      <c r="F4" s="8" t="s">
        <v>51</v>
      </c>
      <c r="G4" s="57"/>
    </row>
    <row r="5" spans="1:7" x14ac:dyDescent="0.25">
      <c r="A5" s="8" t="s">
        <v>61</v>
      </c>
      <c r="B5" s="8" t="s">
        <v>147</v>
      </c>
      <c r="C5" s="8" t="s">
        <v>197</v>
      </c>
      <c r="D5" s="8" t="s">
        <v>147</v>
      </c>
      <c r="E5" s="8" t="s">
        <v>36</v>
      </c>
      <c r="F5" s="8" t="s">
        <v>51</v>
      </c>
      <c r="G5" s="8"/>
    </row>
    <row r="6" spans="1:7" x14ac:dyDescent="0.25">
      <c r="A6" s="8" t="s">
        <v>61</v>
      </c>
      <c r="B6" s="8" t="s">
        <v>147</v>
      </c>
      <c r="C6" s="8" t="s">
        <v>178</v>
      </c>
      <c r="D6" s="8" t="s">
        <v>147</v>
      </c>
      <c r="E6" s="8" t="s">
        <v>36</v>
      </c>
      <c r="F6" s="8" t="s">
        <v>51</v>
      </c>
      <c r="G6" s="8"/>
    </row>
    <row r="7" spans="1:7" x14ac:dyDescent="0.25">
      <c r="A7" s="8" t="s">
        <v>61</v>
      </c>
      <c r="B7" s="8" t="s">
        <v>147</v>
      </c>
      <c r="C7" s="8" t="s">
        <v>180</v>
      </c>
      <c r="D7" s="8" t="s">
        <v>147</v>
      </c>
      <c r="E7" s="8" t="s">
        <v>36</v>
      </c>
      <c r="F7" s="8" t="s">
        <v>51</v>
      </c>
      <c r="G7" s="8"/>
    </row>
    <row r="8" spans="1:7" x14ac:dyDescent="0.25">
      <c r="A8" s="8" t="s">
        <v>61</v>
      </c>
      <c r="B8" s="8" t="s">
        <v>147</v>
      </c>
      <c r="C8" s="8" t="s">
        <v>181</v>
      </c>
      <c r="D8" s="8" t="s">
        <v>147</v>
      </c>
      <c r="E8" s="8" t="s">
        <v>36</v>
      </c>
      <c r="F8" s="8" t="s">
        <v>51</v>
      </c>
      <c r="G8" s="8"/>
    </row>
    <row r="9" spans="1:7" x14ac:dyDescent="0.25">
      <c r="A9" s="8" t="s">
        <v>61</v>
      </c>
      <c r="B9" s="8" t="s">
        <v>147</v>
      </c>
      <c r="C9" s="8" t="s">
        <v>182</v>
      </c>
      <c r="D9" s="8" t="s">
        <v>147</v>
      </c>
      <c r="E9" s="8" t="s">
        <v>36</v>
      </c>
      <c r="F9" s="8" t="s">
        <v>51</v>
      </c>
      <c r="G9" s="8"/>
    </row>
    <row r="10" spans="1:7" x14ac:dyDescent="0.25">
      <c r="A10" s="8" t="s">
        <v>61</v>
      </c>
      <c r="B10" s="8" t="s">
        <v>147</v>
      </c>
      <c r="C10" s="8" t="s">
        <v>183</v>
      </c>
      <c r="D10" s="8" t="s">
        <v>147</v>
      </c>
      <c r="E10" s="8" t="s">
        <v>36</v>
      </c>
      <c r="F10" s="8" t="s">
        <v>51</v>
      </c>
      <c r="G10" s="8"/>
    </row>
    <row r="11" spans="1:7" x14ac:dyDescent="0.25">
      <c r="A11" s="8" t="s">
        <v>61</v>
      </c>
      <c r="B11" s="8" t="s">
        <v>147</v>
      </c>
      <c r="C11" s="8" t="s">
        <v>184</v>
      </c>
      <c r="D11" s="8" t="s">
        <v>147</v>
      </c>
      <c r="E11" s="8" t="s">
        <v>36</v>
      </c>
      <c r="F11" s="8" t="s">
        <v>51</v>
      </c>
      <c r="G11" s="8"/>
    </row>
    <row r="12" spans="1:7" x14ac:dyDescent="0.25">
      <c r="A12" s="8" t="s">
        <v>61</v>
      </c>
      <c r="B12" s="8" t="s">
        <v>147</v>
      </c>
      <c r="C12" s="8" t="s">
        <v>185</v>
      </c>
      <c r="D12" s="8" t="s">
        <v>147</v>
      </c>
      <c r="E12" s="8" t="s">
        <v>36</v>
      </c>
      <c r="F12" s="8" t="s">
        <v>51</v>
      </c>
      <c r="G12" s="8"/>
    </row>
    <row r="13" spans="1:7" x14ac:dyDescent="0.25">
      <c r="A13" s="8" t="s">
        <v>61</v>
      </c>
      <c r="B13" s="8" t="s">
        <v>147</v>
      </c>
      <c r="C13" s="8" t="s">
        <v>186</v>
      </c>
      <c r="D13" s="8" t="s">
        <v>147</v>
      </c>
      <c r="E13" s="8" t="s">
        <v>36</v>
      </c>
      <c r="F13" s="8" t="s">
        <v>51</v>
      </c>
      <c r="G13" s="8"/>
    </row>
    <row r="14" spans="1:7" x14ac:dyDescent="0.25">
      <c r="A14" s="8" t="s">
        <v>61</v>
      </c>
      <c r="B14" s="8" t="s">
        <v>147</v>
      </c>
      <c r="C14" s="8" t="s">
        <v>187</v>
      </c>
      <c r="D14" s="8" t="s">
        <v>147</v>
      </c>
      <c r="E14" s="8" t="s">
        <v>36</v>
      </c>
      <c r="F14" s="8" t="s">
        <v>51</v>
      </c>
      <c r="G14" s="8"/>
    </row>
    <row r="15" spans="1:7" x14ac:dyDescent="0.25">
      <c r="A15" s="8" t="s">
        <v>61</v>
      </c>
      <c r="B15" s="8" t="s">
        <v>147</v>
      </c>
      <c r="C15" s="8" t="s">
        <v>188</v>
      </c>
      <c r="D15" s="8" t="s">
        <v>147</v>
      </c>
      <c r="E15" s="8" t="s">
        <v>36</v>
      </c>
      <c r="F15" s="8" t="s">
        <v>51</v>
      </c>
      <c r="G15" s="8"/>
    </row>
    <row r="16" spans="1:7" x14ac:dyDescent="0.25">
      <c r="A16" s="8" t="s">
        <v>61</v>
      </c>
      <c r="B16" s="8" t="s">
        <v>147</v>
      </c>
      <c r="C16" s="8" t="s">
        <v>189</v>
      </c>
      <c r="D16" s="8" t="s">
        <v>147</v>
      </c>
      <c r="E16" s="8" t="s">
        <v>36</v>
      </c>
      <c r="F16" s="8" t="s">
        <v>51</v>
      </c>
      <c r="G16" s="8"/>
    </row>
    <row r="17" spans="1:7" x14ac:dyDescent="0.25">
      <c r="A17" s="8" t="s">
        <v>61</v>
      </c>
      <c r="B17" s="8" t="s">
        <v>147</v>
      </c>
      <c r="C17" s="8" t="s">
        <v>190</v>
      </c>
      <c r="D17" s="8" t="s">
        <v>147</v>
      </c>
      <c r="E17" s="8" t="s">
        <v>36</v>
      </c>
      <c r="F17" s="8" t="s">
        <v>51</v>
      </c>
      <c r="G17" s="8"/>
    </row>
    <row r="18" spans="1:7" x14ac:dyDescent="0.25">
      <c r="A18" s="8" t="s">
        <v>61</v>
      </c>
      <c r="B18" s="8" t="s">
        <v>147</v>
      </c>
      <c r="C18" s="8" t="s">
        <v>191</v>
      </c>
      <c r="D18" s="8" t="s">
        <v>147</v>
      </c>
      <c r="E18" s="8" t="s">
        <v>36</v>
      </c>
      <c r="F18" s="8" t="s">
        <v>51</v>
      </c>
      <c r="G18" s="8"/>
    </row>
    <row r="19" spans="1:7" x14ac:dyDescent="0.25">
      <c r="A19" s="8" t="s">
        <v>61</v>
      </c>
      <c r="B19" s="8" t="s">
        <v>147</v>
      </c>
      <c r="C19" s="8" t="s">
        <v>192</v>
      </c>
      <c r="D19" s="8" t="s">
        <v>147</v>
      </c>
      <c r="E19" s="8" t="s">
        <v>36</v>
      </c>
      <c r="F19" s="8" t="s">
        <v>51</v>
      </c>
      <c r="G19" s="8"/>
    </row>
    <row r="20" spans="1:7" x14ac:dyDescent="0.25">
      <c r="A20" s="8" t="s">
        <v>61</v>
      </c>
      <c r="B20" s="8" t="s">
        <v>147</v>
      </c>
      <c r="C20" s="8" t="s">
        <v>193</v>
      </c>
      <c r="D20" s="8" t="s">
        <v>147</v>
      </c>
      <c r="E20" s="8" t="s">
        <v>36</v>
      </c>
      <c r="F20" s="8" t="s">
        <v>51</v>
      </c>
      <c r="G20" s="8"/>
    </row>
    <row r="21" spans="1:7" x14ac:dyDescent="0.25">
      <c r="A21" s="8" t="s">
        <v>61</v>
      </c>
      <c r="B21" s="8" t="s">
        <v>147</v>
      </c>
      <c r="C21" s="8" t="s">
        <v>194</v>
      </c>
      <c r="D21" s="8" t="s">
        <v>147</v>
      </c>
      <c r="E21" s="8" t="s">
        <v>36</v>
      </c>
      <c r="F21" s="8" t="s">
        <v>51</v>
      </c>
      <c r="G21" s="8"/>
    </row>
    <row r="22" spans="1:7" x14ac:dyDescent="0.25">
      <c r="A22" s="20" t="s">
        <v>61</v>
      </c>
      <c r="B22" s="20" t="s">
        <v>147</v>
      </c>
      <c r="C22" s="20" t="s">
        <v>173</v>
      </c>
      <c r="D22" s="20" t="s">
        <v>147</v>
      </c>
      <c r="E22" s="20" t="s">
        <v>36</v>
      </c>
      <c r="F22" s="20" t="s">
        <v>52</v>
      </c>
      <c r="G22" s="58"/>
    </row>
    <row r="23" spans="1:7" x14ac:dyDescent="0.25">
      <c r="A23" s="20" t="s">
        <v>61</v>
      </c>
      <c r="B23" s="20" t="s">
        <v>147</v>
      </c>
      <c r="C23" s="20" t="s">
        <v>195</v>
      </c>
      <c r="D23" s="20" t="s">
        <v>147</v>
      </c>
      <c r="E23" s="20" t="s">
        <v>36</v>
      </c>
      <c r="F23" s="20" t="s">
        <v>52</v>
      </c>
      <c r="G23" s="20"/>
    </row>
    <row r="24" spans="1:7" x14ac:dyDescent="0.25">
      <c r="A24" s="20" t="s">
        <v>61</v>
      </c>
      <c r="B24" s="20" t="s">
        <v>147</v>
      </c>
      <c r="C24" s="20" t="s">
        <v>196</v>
      </c>
      <c r="D24" s="20" t="s">
        <v>147</v>
      </c>
      <c r="E24" s="20" t="s">
        <v>36</v>
      </c>
      <c r="F24" s="20" t="s">
        <v>52</v>
      </c>
      <c r="G24" s="58"/>
    </row>
    <row r="25" spans="1:7" x14ac:dyDescent="0.25">
      <c r="A25" s="20" t="s">
        <v>61</v>
      </c>
      <c r="B25" s="20" t="s">
        <v>147</v>
      </c>
      <c r="C25" s="20" t="s">
        <v>197</v>
      </c>
      <c r="D25" s="20" t="s">
        <v>147</v>
      </c>
      <c r="E25" s="20" t="s">
        <v>36</v>
      </c>
      <c r="F25" s="20" t="s">
        <v>52</v>
      </c>
      <c r="G25" s="20"/>
    </row>
    <row r="26" spans="1:7" x14ac:dyDescent="0.25">
      <c r="A26" s="20" t="s">
        <v>61</v>
      </c>
      <c r="B26" s="20" t="s">
        <v>147</v>
      </c>
      <c r="C26" s="20" t="s">
        <v>178</v>
      </c>
      <c r="D26" s="20" t="s">
        <v>147</v>
      </c>
      <c r="E26" s="20" t="s">
        <v>36</v>
      </c>
      <c r="F26" s="20" t="s">
        <v>52</v>
      </c>
      <c r="G26" s="20"/>
    </row>
    <row r="27" spans="1:7" x14ac:dyDescent="0.25">
      <c r="A27" s="20" t="s">
        <v>61</v>
      </c>
      <c r="B27" s="20" t="s">
        <v>147</v>
      </c>
      <c r="C27" s="20" t="s">
        <v>180</v>
      </c>
      <c r="D27" s="20" t="s">
        <v>147</v>
      </c>
      <c r="E27" s="20" t="s">
        <v>36</v>
      </c>
      <c r="F27" s="20" t="s">
        <v>52</v>
      </c>
      <c r="G27" s="20"/>
    </row>
    <row r="28" spans="1:7" x14ac:dyDescent="0.25">
      <c r="A28" s="20" t="s">
        <v>61</v>
      </c>
      <c r="B28" s="20" t="s">
        <v>147</v>
      </c>
      <c r="C28" s="20" t="s">
        <v>181</v>
      </c>
      <c r="D28" s="20" t="s">
        <v>147</v>
      </c>
      <c r="E28" s="20" t="s">
        <v>36</v>
      </c>
      <c r="F28" s="20" t="s">
        <v>52</v>
      </c>
      <c r="G28" s="20"/>
    </row>
    <row r="29" spans="1:7" x14ac:dyDescent="0.25">
      <c r="A29" s="20" t="s">
        <v>61</v>
      </c>
      <c r="B29" s="20" t="s">
        <v>147</v>
      </c>
      <c r="C29" s="20" t="s">
        <v>182</v>
      </c>
      <c r="D29" s="20" t="s">
        <v>147</v>
      </c>
      <c r="E29" s="20" t="s">
        <v>36</v>
      </c>
      <c r="F29" s="20" t="s">
        <v>52</v>
      </c>
      <c r="G29" s="20"/>
    </row>
    <row r="30" spans="1:7" x14ac:dyDescent="0.25">
      <c r="A30" s="20" t="s">
        <v>61</v>
      </c>
      <c r="B30" s="20" t="s">
        <v>147</v>
      </c>
      <c r="C30" s="20" t="s">
        <v>183</v>
      </c>
      <c r="D30" s="20" t="s">
        <v>147</v>
      </c>
      <c r="E30" s="20" t="s">
        <v>36</v>
      </c>
      <c r="F30" s="20" t="s">
        <v>52</v>
      </c>
      <c r="G30" s="20"/>
    </row>
    <row r="31" spans="1:7" x14ac:dyDescent="0.25">
      <c r="A31" s="20" t="s">
        <v>61</v>
      </c>
      <c r="B31" s="20" t="s">
        <v>147</v>
      </c>
      <c r="C31" s="20" t="s">
        <v>184</v>
      </c>
      <c r="D31" s="20" t="s">
        <v>147</v>
      </c>
      <c r="E31" s="20" t="s">
        <v>36</v>
      </c>
      <c r="F31" s="20" t="s">
        <v>52</v>
      </c>
      <c r="G31" s="20"/>
    </row>
    <row r="32" spans="1:7" x14ac:dyDescent="0.25">
      <c r="A32" s="20" t="s">
        <v>61</v>
      </c>
      <c r="B32" s="20" t="s">
        <v>147</v>
      </c>
      <c r="C32" s="20" t="s">
        <v>185</v>
      </c>
      <c r="D32" s="20" t="s">
        <v>147</v>
      </c>
      <c r="E32" s="20" t="s">
        <v>36</v>
      </c>
      <c r="F32" s="20" t="s">
        <v>52</v>
      </c>
      <c r="G32" s="20"/>
    </row>
    <row r="33" spans="1:7" x14ac:dyDescent="0.25">
      <c r="A33" s="20" t="s">
        <v>61</v>
      </c>
      <c r="B33" s="20" t="s">
        <v>147</v>
      </c>
      <c r="C33" s="20" t="s">
        <v>186</v>
      </c>
      <c r="D33" s="20" t="s">
        <v>147</v>
      </c>
      <c r="E33" s="20" t="s">
        <v>36</v>
      </c>
      <c r="F33" s="20" t="s">
        <v>52</v>
      </c>
      <c r="G33" s="20"/>
    </row>
    <row r="34" spans="1:7" x14ac:dyDescent="0.25">
      <c r="A34" s="20" t="s">
        <v>61</v>
      </c>
      <c r="B34" s="20" t="s">
        <v>147</v>
      </c>
      <c r="C34" s="20" t="s">
        <v>187</v>
      </c>
      <c r="D34" s="20" t="s">
        <v>147</v>
      </c>
      <c r="E34" s="20" t="s">
        <v>36</v>
      </c>
      <c r="F34" s="20" t="s">
        <v>52</v>
      </c>
      <c r="G34" s="20"/>
    </row>
    <row r="35" spans="1:7" x14ac:dyDescent="0.25">
      <c r="A35" s="20" t="s">
        <v>61</v>
      </c>
      <c r="B35" s="20" t="s">
        <v>147</v>
      </c>
      <c r="C35" s="20" t="s">
        <v>188</v>
      </c>
      <c r="D35" s="20" t="s">
        <v>147</v>
      </c>
      <c r="E35" s="20" t="s">
        <v>36</v>
      </c>
      <c r="F35" s="20" t="s">
        <v>52</v>
      </c>
      <c r="G35" s="20"/>
    </row>
    <row r="36" spans="1:7" x14ac:dyDescent="0.25">
      <c r="A36" s="20" t="s">
        <v>61</v>
      </c>
      <c r="B36" s="20" t="s">
        <v>147</v>
      </c>
      <c r="C36" s="20" t="s">
        <v>189</v>
      </c>
      <c r="D36" s="20" t="s">
        <v>147</v>
      </c>
      <c r="E36" s="20" t="s">
        <v>36</v>
      </c>
      <c r="F36" s="20" t="s">
        <v>52</v>
      </c>
      <c r="G36" s="20"/>
    </row>
    <row r="37" spans="1:7" x14ac:dyDescent="0.25">
      <c r="A37" s="20" t="s">
        <v>61</v>
      </c>
      <c r="B37" s="20" t="s">
        <v>147</v>
      </c>
      <c r="C37" s="20" t="s">
        <v>190</v>
      </c>
      <c r="D37" s="20" t="s">
        <v>147</v>
      </c>
      <c r="E37" s="20" t="s">
        <v>36</v>
      </c>
      <c r="F37" s="20" t="s">
        <v>52</v>
      </c>
      <c r="G37" s="20"/>
    </row>
    <row r="38" spans="1:7" x14ac:dyDescent="0.25">
      <c r="A38" s="20" t="s">
        <v>61</v>
      </c>
      <c r="B38" s="20" t="s">
        <v>147</v>
      </c>
      <c r="C38" s="20" t="s">
        <v>191</v>
      </c>
      <c r="D38" s="20" t="s">
        <v>147</v>
      </c>
      <c r="E38" s="20" t="s">
        <v>36</v>
      </c>
      <c r="F38" s="20" t="s">
        <v>52</v>
      </c>
      <c r="G38" s="20"/>
    </row>
    <row r="39" spans="1:7" x14ac:dyDescent="0.25">
      <c r="A39" s="20" t="s">
        <v>61</v>
      </c>
      <c r="B39" s="20" t="s">
        <v>147</v>
      </c>
      <c r="C39" s="20" t="s">
        <v>192</v>
      </c>
      <c r="D39" s="20" t="s">
        <v>147</v>
      </c>
      <c r="E39" s="20" t="s">
        <v>36</v>
      </c>
      <c r="F39" s="20" t="s">
        <v>52</v>
      </c>
      <c r="G39" s="20"/>
    </row>
    <row r="40" spans="1:7" x14ac:dyDescent="0.25">
      <c r="A40" s="20" t="s">
        <v>61</v>
      </c>
      <c r="B40" s="20" t="s">
        <v>147</v>
      </c>
      <c r="C40" s="20" t="s">
        <v>193</v>
      </c>
      <c r="D40" s="20" t="s">
        <v>147</v>
      </c>
      <c r="E40" s="20" t="s">
        <v>36</v>
      </c>
      <c r="F40" s="20" t="s">
        <v>52</v>
      </c>
      <c r="G40" s="20"/>
    </row>
    <row r="41" spans="1:7" x14ac:dyDescent="0.25">
      <c r="A41" s="20" t="s">
        <v>61</v>
      </c>
      <c r="B41" s="20" t="s">
        <v>147</v>
      </c>
      <c r="C41" s="20" t="s">
        <v>194</v>
      </c>
      <c r="D41" s="20" t="s">
        <v>147</v>
      </c>
      <c r="E41" s="20" t="s">
        <v>36</v>
      </c>
      <c r="F41" s="20" t="s">
        <v>52</v>
      </c>
      <c r="G41" s="20"/>
    </row>
    <row r="43" spans="1:7" x14ac:dyDescent="0.25">
      <c r="A43" t="s">
        <v>61</v>
      </c>
      <c r="B43" t="s">
        <v>147</v>
      </c>
      <c r="C43" t="s">
        <v>36</v>
      </c>
      <c r="D43" t="s">
        <v>147</v>
      </c>
      <c r="E43" t="s">
        <v>45</v>
      </c>
      <c r="F43" t="s">
        <v>51</v>
      </c>
      <c r="G43" t="s">
        <v>138</v>
      </c>
    </row>
    <row r="44" spans="1:7" x14ac:dyDescent="0.25">
      <c r="A44" t="s">
        <v>61</v>
      </c>
      <c r="B44" t="s">
        <v>147</v>
      </c>
      <c r="C44" t="s">
        <v>36</v>
      </c>
      <c r="D44" t="s">
        <v>147</v>
      </c>
      <c r="E44" t="s">
        <v>45</v>
      </c>
      <c r="F44" t="s">
        <v>52</v>
      </c>
      <c r="G44" t="s">
        <v>53</v>
      </c>
    </row>
    <row r="45" spans="1:7" x14ac:dyDescent="0.25">
      <c r="A45" t="s">
        <v>61</v>
      </c>
      <c r="B45" t="s">
        <v>147</v>
      </c>
      <c r="C45" t="s">
        <v>36</v>
      </c>
      <c r="D45" t="s">
        <v>147</v>
      </c>
      <c r="E45" t="s">
        <v>45</v>
      </c>
      <c r="F45" t="s">
        <v>90</v>
      </c>
      <c r="G45" t="s">
        <v>140</v>
      </c>
    </row>
    <row r="46" spans="1:7" x14ac:dyDescent="0.25">
      <c r="A46" t="s">
        <v>61</v>
      </c>
      <c r="B46" t="s">
        <v>147</v>
      </c>
      <c r="C46" t="s">
        <v>36</v>
      </c>
      <c r="D46" t="s">
        <v>147</v>
      </c>
      <c r="E46" t="s">
        <v>45</v>
      </c>
      <c r="F46" t="s">
        <v>90</v>
      </c>
      <c r="G46" t="s">
        <v>141</v>
      </c>
    </row>
    <row r="48" spans="1:7" x14ac:dyDescent="0.25">
      <c r="A48" t="s">
        <v>61</v>
      </c>
      <c r="B48" t="s">
        <v>147</v>
      </c>
      <c r="C48" t="s">
        <v>45</v>
      </c>
      <c r="D48" t="s">
        <v>147</v>
      </c>
      <c r="E48" t="s">
        <v>30</v>
      </c>
      <c r="F48" t="s">
        <v>52</v>
      </c>
      <c r="G48" t="s">
        <v>53</v>
      </c>
    </row>
    <row r="50" spans="1:7" x14ac:dyDescent="0.25">
      <c r="A50" t="s">
        <v>61</v>
      </c>
      <c r="B50" t="s">
        <v>147</v>
      </c>
      <c r="C50" t="s">
        <v>45</v>
      </c>
      <c r="D50" t="s">
        <v>147</v>
      </c>
      <c r="E50" t="s">
        <v>31</v>
      </c>
      <c r="F50" t="s">
        <v>51</v>
      </c>
      <c r="G50" t="s">
        <v>138</v>
      </c>
    </row>
    <row r="51" spans="1:7" x14ac:dyDescent="0.25">
      <c r="A51" t="s">
        <v>61</v>
      </c>
      <c r="B51" t="s">
        <v>147</v>
      </c>
      <c r="C51" t="s">
        <v>45</v>
      </c>
      <c r="D51" t="s">
        <v>147</v>
      </c>
      <c r="E51" t="s">
        <v>31</v>
      </c>
      <c r="F51" t="s">
        <v>90</v>
      </c>
      <c r="G51" t="s">
        <v>139</v>
      </c>
    </row>
    <row r="52" spans="1:7" x14ac:dyDescent="0.25">
      <c r="A52" t="s">
        <v>61</v>
      </c>
      <c r="B52" t="s">
        <v>147</v>
      </c>
      <c r="C52" t="s">
        <v>45</v>
      </c>
      <c r="D52" t="s">
        <v>147</v>
      </c>
      <c r="E52" t="s">
        <v>31</v>
      </c>
      <c r="F52" t="s">
        <v>90</v>
      </c>
      <c r="G52" t="s">
        <v>140</v>
      </c>
    </row>
    <row r="53" spans="1:7" x14ac:dyDescent="0.25">
      <c r="A53" t="s">
        <v>61</v>
      </c>
      <c r="B53" t="s">
        <v>147</v>
      </c>
      <c r="C53" t="s">
        <v>45</v>
      </c>
      <c r="D53" t="s">
        <v>147</v>
      </c>
      <c r="E53" t="s">
        <v>31</v>
      </c>
      <c r="F53" t="s">
        <v>90</v>
      </c>
      <c r="G53" t="s">
        <v>141</v>
      </c>
    </row>
    <row r="55" spans="1:7" x14ac:dyDescent="0.25">
      <c r="A55" t="s">
        <v>61</v>
      </c>
      <c r="B55" t="s">
        <v>147</v>
      </c>
      <c r="C55" t="s">
        <v>31</v>
      </c>
      <c r="D55" t="s">
        <v>147</v>
      </c>
      <c r="E55" t="s">
        <v>94</v>
      </c>
      <c r="F55" t="s">
        <v>90</v>
      </c>
      <c r="G55" t="s">
        <v>150</v>
      </c>
    </row>
    <row r="56" spans="1:7" x14ac:dyDescent="0.25">
      <c r="A56" t="s">
        <v>61</v>
      </c>
      <c r="B56" t="s">
        <v>147</v>
      </c>
      <c r="C56" t="s">
        <v>31</v>
      </c>
      <c r="D56" t="s">
        <v>147</v>
      </c>
      <c r="E56" t="s">
        <v>94</v>
      </c>
      <c r="F56" t="s">
        <v>90</v>
      </c>
      <c r="G56" t="s">
        <v>151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1"/>
  <sheetViews>
    <sheetView workbookViewId="0">
      <selection activeCell="N35" sqref="N35"/>
    </sheetView>
  </sheetViews>
  <sheetFormatPr defaultRowHeight="15" x14ac:dyDescent="0.25"/>
  <cols>
    <col min="1" max="1" width="18.85546875" bestFit="1" customWidth="1"/>
    <col min="2" max="2" width="15.28515625" customWidth="1"/>
    <col min="3" max="3" width="18.7109375" bestFit="1" customWidth="1"/>
    <col min="4" max="4" width="15.28515625" customWidth="1"/>
    <col min="5" max="5" width="19.85546875" bestFit="1" customWidth="1"/>
  </cols>
  <sheetData>
    <row r="1" spans="1:5" s="3" customFormat="1" x14ac:dyDescent="0.25">
      <c r="A1" s="2" t="s">
        <v>7</v>
      </c>
      <c r="B1" s="2" t="s">
        <v>22</v>
      </c>
      <c r="C1" s="2" t="s">
        <v>23</v>
      </c>
      <c r="D1" s="2" t="s">
        <v>24</v>
      </c>
      <c r="E1" s="2" t="s">
        <v>25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67B3D-F4B0-4E17-B373-3A9C37728570}">
  <dimension ref="A1:C2"/>
  <sheetViews>
    <sheetView workbookViewId="0">
      <selection activeCell="M14" sqref="M14"/>
    </sheetView>
  </sheetViews>
  <sheetFormatPr defaultRowHeight="15" x14ac:dyDescent="0.25"/>
  <cols>
    <col min="1" max="1" width="21" customWidth="1"/>
  </cols>
  <sheetData>
    <row r="1" spans="1:3" x14ac:dyDescent="0.25">
      <c r="A1" t="s">
        <v>7</v>
      </c>
      <c r="B1" t="s">
        <v>57</v>
      </c>
      <c r="C1" t="s">
        <v>58</v>
      </c>
    </row>
    <row r="2" spans="1:3" x14ac:dyDescent="0.25">
      <c r="A2" t="s">
        <v>62</v>
      </c>
      <c r="B2" t="s">
        <v>56</v>
      </c>
      <c r="C2">
        <v>500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8"/>
  <sheetViews>
    <sheetView workbookViewId="0">
      <selection activeCell="L20" sqref="L20"/>
    </sheetView>
  </sheetViews>
  <sheetFormatPr defaultRowHeight="15" x14ac:dyDescent="0.25"/>
  <cols>
    <col min="1" max="2" width="21.42578125" bestFit="1" customWidth="1"/>
  </cols>
  <sheetData>
    <row r="1" spans="1:2" x14ac:dyDescent="0.25">
      <c r="A1" s="1" t="s">
        <v>26</v>
      </c>
      <c r="B1" s="1" t="s">
        <v>27</v>
      </c>
    </row>
    <row r="2" spans="1:2" x14ac:dyDescent="0.25">
      <c r="A2" t="s">
        <v>28</v>
      </c>
      <c r="B2" t="s">
        <v>28</v>
      </c>
    </row>
    <row r="3" spans="1:2" x14ac:dyDescent="0.25">
      <c r="A3" t="s">
        <v>198</v>
      </c>
      <c r="B3" t="s">
        <v>198</v>
      </c>
    </row>
    <row r="4" spans="1:2" x14ac:dyDescent="0.25">
      <c r="A4" t="s">
        <v>142</v>
      </c>
      <c r="B4" t="s">
        <v>142</v>
      </c>
    </row>
    <row r="5" spans="1:2" x14ac:dyDescent="0.25">
      <c r="A5" t="s">
        <v>19</v>
      </c>
      <c r="B5" t="s">
        <v>19</v>
      </c>
    </row>
    <row r="6" spans="1:2" x14ac:dyDescent="0.25">
      <c r="A6" t="s">
        <v>29</v>
      </c>
      <c r="B6" t="s">
        <v>29</v>
      </c>
    </row>
    <row r="7" spans="1:2" x14ac:dyDescent="0.25">
      <c r="A7" t="s">
        <v>37</v>
      </c>
      <c r="B7" t="s">
        <v>38</v>
      </c>
    </row>
    <row r="8" spans="1:2" x14ac:dyDescent="0.25">
      <c r="A8" t="s">
        <v>55</v>
      </c>
      <c r="B8" t="s">
        <v>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Global Simulation Parameters</vt:lpstr>
      <vt:lpstr>Facilities</vt:lpstr>
      <vt:lpstr>Cycling Wells</vt:lpstr>
      <vt:lpstr>ContinuousWells</vt:lpstr>
      <vt:lpstr>Continuous Separators</vt:lpstr>
      <vt:lpstr>Other</vt:lpstr>
      <vt:lpstr>Tank Battery</vt:lpstr>
      <vt:lpstr>VRUs</vt:lpstr>
      <vt:lpstr>Flares</vt:lpstr>
      <vt:lpstr>FFLinks</vt:lpstr>
      <vt:lpstr>Links</vt:lpstr>
      <vt:lpstr>Debug</vt:lpstr>
      <vt:lpstr>Master Equipment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Vora,Prajay</cp:lastModifiedBy>
  <dcterms:created xsi:type="dcterms:W3CDTF">2021-02-18T15:05:05Z</dcterms:created>
  <dcterms:modified xsi:type="dcterms:W3CDTF">2023-10-28T20:52:17Z</dcterms:modified>
</cp:coreProperties>
</file>