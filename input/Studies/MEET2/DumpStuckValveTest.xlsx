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METEC\MEET2\input\Studies\MEET2\"/>
    </mc:Choice>
  </mc:AlternateContent>
  <xr:revisionPtr revIDLastSave="0" documentId="13_ncr:1_{A191DB22-54B2-45C1-BA52-0DFA393C4117}" xr6:coauthVersionLast="47" xr6:coauthVersionMax="47" xr10:uidLastSave="{00000000-0000-0000-0000-000000000000}"/>
  <bookViews>
    <workbookView xWindow="-120" yWindow="-120" windowWidth="29040" windowHeight="15720" tabRatio="865" activeTab="13" xr2:uid="{00000000-000D-0000-FFFF-FFFF00000000}"/>
  </bookViews>
  <sheets>
    <sheet name="Global Simulation Parameters" sheetId="1" r:id="rId1"/>
    <sheet name="Facilities" sheetId="2" r:id="rId2"/>
    <sheet name="ContinuousWells" sheetId="3" r:id="rId3"/>
    <sheet name="CyclingWells" sheetId="21" r:id="rId4"/>
    <sheet name="Common Headers" sheetId="22" r:id="rId5"/>
    <sheet name="Separators" sheetId="5" r:id="rId6"/>
    <sheet name="Sheet1" sheetId="24" r:id="rId7"/>
    <sheet name="Tank Battery" sheetId="20" r:id="rId8"/>
    <sheet name="Probe" sheetId="25" r:id="rId9"/>
    <sheet name="FFLinks" sheetId="16" r:id="rId10"/>
    <sheet name="FFLinks2" sheetId="23" r:id="rId11"/>
    <sheet name="FFLinks3" sheetId="26" r:id="rId12"/>
    <sheet name="Debug" sheetId="17" r:id="rId13"/>
    <sheet name="Master Equipment" sheetId="14" r:id="rId14"/>
    <sheet name="MAll" sheetId="19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7" l="1"/>
  <c r="B11" i="17"/>
  <c r="B10" i="17"/>
  <c r="B8" i="17" l="1"/>
  <c r="B2" i="17"/>
  <c r="B9" i="17"/>
  <c r="B7" i="17"/>
  <c r="B5" i="17"/>
  <c r="B4" i="17"/>
  <c r="B3" i="17"/>
</calcChain>
</file>

<file path=xl/sharedStrings.xml><?xml version="1.0" encoding="utf-8"?>
<sst xmlns="http://schemas.openxmlformats.org/spreadsheetml/2006/main" count="950" uniqueCount="144">
  <si>
    <t>Simulation Start Date</t>
  </si>
  <si>
    <t>1/1/2021</t>
  </si>
  <si>
    <t>Simulation Duration [Days]</t>
  </si>
  <si>
    <t>Number of Monte Carlo Iterations</t>
  </si>
  <si>
    <t>Output Directory Template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</si>
  <si>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</si>
  <si>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</si>
  <si>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</si>
  <si>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</si>
  <si>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</si>
  <si>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</si>
  <si>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</si>
  <si>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</si>
  <si>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Fluid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</si>
  <si>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</si>
  <si>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</si>
  <si>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</si>
  <si>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</si>
  <si>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</si>
  <si>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</si>
  <si>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</si>
  <si>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</si>
  <si>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</si>
  <si>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</si>
  <si>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</si>
  <si>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</si>
  <si>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</si>
  <si>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</si>
  <si>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</si>
  <si>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</si>
  <si>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</si>
  <si>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</si>
  <si>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</si>
  <si>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</si>
  <si>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</si>
  <si>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</si>
  <si>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</si>
  <si>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</si>
  <si>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</si>
  <si>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</si>
  <si>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</si>
  <si>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</si>
  <si>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</si>
  <si>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</si>
  <si>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Flow Gas Composition</t>
  </si>
  <si>
    <t>FFLinks</t>
  </si>
  <si>
    <t>VRUs</t>
  </si>
  <si>
    <t>Flares</t>
  </si>
  <si>
    <t>facility_test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</si>
  <si>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</si>
  <si>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</si>
  <si>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</si>
  <si>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</si>
  <si>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</si>
  <si>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</si>
  <si>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TBC</t>
  </si>
  <si>
    <t>Condensate Tank</t>
  </si>
  <si>
    <t>Gas</t>
  </si>
  <si>
    <t>Oil Production [bbl/day]</t>
  </si>
  <si>
    <t>Water Production [bbl/day]</t>
  </si>
  <si>
    <t>Di per month</t>
  </si>
  <si>
    <t>b Hyperbolic</t>
  </si>
  <si>
    <t>Age months</t>
  </si>
  <si>
    <t>W5</t>
  </si>
  <si>
    <t>Total Liquids Produced [bbl/dump]</t>
  </si>
  <si>
    <t>Mean Production Time [s]</t>
  </si>
  <si>
    <t>Production Time Variation [s]</t>
  </si>
  <si>
    <t>Shut In Time Variation [percent]</t>
  </si>
  <si>
    <t>W1</t>
  </si>
  <si>
    <t>Dump Volume [bbl]</t>
  </si>
  <si>
    <t>Dump Time [s]</t>
  </si>
  <si>
    <t>Well.json</t>
  </si>
  <si>
    <t>CycledWell.json</t>
  </si>
  <si>
    <t>Activity / Emission Factor Name</t>
  </si>
  <si>
    <t>Factor Tag</t>
  </si>
  <si>
    <t>Stuck Dump Valve pLeak</t>
  </si>
  <si>
    <t>Stage1</t>
  </si>
  <si>
    <t>Stage2</t>
  </si>
  <si>
    <t>primary_water</t>
  </si>
  <si>
    <t>Stuck Dump Valve Failure Duration Max [days]</t>
  </si>
  <si>
    <t>Stuck Dump Valve Failure Duration Min [days]</t>
  </si>
  <si>
    <t>Notes</t>
  </si>
  <si>
    <t>Stuck Dump Valve Component Count</t>
  </si>
  <si>
    <t>Vapor</t>
  </si>
  <si>
    <t>Fraction of Flash Released</t>
  </si>
  <si>
    <t>stuck_dump_valve_vapor</t>
  </si>
  <si>
    <t>Air</t>
  </si>
  <si>
    <t>Water Tank</t>
  </si>
  <si>
    <t>Number of Thief Hatches</t>
  </si>
  <si>
    <t>Number of Vents</t>
  </si>
  <si>
    <t>TBW</t>
  </si>
  <si>
    <t>condensate_flash</t>
  </si>
  <si>
    <t>water_flash</t>
  </si>
  <si>
    <t>condensate_flow</t>
  </si>
  <si>
    <t>FlashFractions\FlashFractionsTest.csv</t>
  </si>
  <si>
    <t>Fractions of gas, water flash and condensate flash released to next equipment</t>
  </si>
  <si>
    <t>W6</t>
  </si>
  <si>
    <t>S1_1</t>
  </si>
  <si>
    <t>S2_1</t>
  </si>
  <si>
    <t>W2</t>
  </si>
  <si>
    <t>W3</t>
  </si>
  <si>
    <t>W7</t>
  </si>
  <si>
    <t>S1_2</t>
  </si>
  <si>
    <t>S2_2</t>
  </si>
  <si>
    <t>CommonHeader.json</t>
  </si>
  <si>
    <t>common_header_1</t>
  </si>
  <si>
    <t>common_header_2</t>
  </si>
  <si>
    <t>common_header_3</t>
  </si>
  <si>
    <t>common_header_4</t>
  </si>
  <si>
    <t>common_header_5</t>
  </si>
  <si>
    <t>common_header_6</t>
  </si>
  <si>
    <t>TankBattery.json</t>
  </si>
  <si>
    <t>Overpressure Vents Large Emitter MTTR min [days]</t>
  </si>
  <si>
    <t>Overpressure Vents Large Emitter MTTR max [days]</t>
  </si>
  <si>
    <t>Overpressure Vents Large Emitter pLeak</t>
  </si>
  <si>
    <t>Overpressure Vents Large Emitter Gas Fraction Released</t>
  </si>
  <si>
    <t>Overpressure Vents Large Emitter Threshold FluidFlow [bbl/s]</t>
  </si>
  <si>
    <t>DumpingSeparator.json</t>
  </si>
  <si>
    <t>Probe.json</t>
  </si>
  <si>
    <t>Inlet Flow At Max Primary Flow [scfh]</t>
  </si>
  <si>
    <t>Max Primary Outlet Flow [scfh]</t>
  </si>
  <si>
    <t>ContinuousWells</t>
  </si>
  <si>
    <t>FFLinks3</t>
  </si>
  <si>
    <t>Overpressure Vents Large Emitter Threshold [scfh]</t>
  </si>
  <si>
    <t>input/Studies/MEET2/TestGCFile1.csv</t>
  </si>
  <si>
    <t>Battery Type [Condensate Tank, Water Tank]</t>
  </si>
  <si>
    <t>Fluid [Water, Condensate]</t>
  </si>
  <si>
    <t>probe_c</t>
  </si>
  <si>
    <t>probe_w</t>
  </si>
  <si>
    <t>probe_g</t>
  </si>
  <si>
    <t>Probe</t>
  </si>
  <si>
    <t>Default-LeakGc</t>
  </si>
  <si>
    <t>Leak GC Name</t>
  </si>
  <si>
    <t>wellpad</t>
  </si>
  <si>
    <t>Well-Condensate.Stage1-Flash</t>
  </si>
  <si>
    <t>Well-Condensate.Stage1-Condensate.Stage2-Flash</t>
  </si>
  <si>
    <t>Well-Condensate.Stage1-Condensate.Stage2-Condensate.Tank-Flash</t>
  </si>
  <si>
    <t>Well-Water.Stage1-Water.Stage2-Water.Tank-Flash</t>
  </si>
  <si>
    <t>wellpad_sep</t>
  </si>
  <si>
    <t>wellpad_tanks</t>
  </si>
  <si>
    <t>Leak Gas Composition</t>
  </si>
  <si>
    <t>Facility Type</t>
  </si>
  <si>
    <t>Common</t>
  </si>
  <si>
    <t>Production\FlashFractions\FlashFractionsTest.csv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</si>
</sst>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0" xfId="0" applyFill="1"/>
    <xf numFmtId="0" fontId="1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9" borderId="0" xfId="0" applyFill="1"/>
    <xf numFmtId="0" fontId="0" fillId="10" borderId="0" xfId="0" applyFill="1"/>
    <xf numFmtId="0" fontId="2" fillId="10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11" borderId="0" xfId="0" applyFill="1"/>
    <xf numFmtId="0" fontId="1" fillId="9" borderId="1" xfId="0" applyFont="1" applyFill="1" applyBorder="1" applyAlignment="1">
      <alignment horizontal="center" vertical="center" wrapText="1"/>
    </xf>
    <xf numFmtId="1" fontId="0" fillId="9" borderId="0" xfId="0" applyNumberFormat="1" applyFill="1"/>
    <xf numFmtId="0" fontId="0" fillId="7" borderId="4" xfId="0" applyFill="1" applyBorder="1" applyAlignment="1">
      <alignment vertical="top" wrapText="1"/>
    </xf>
    <xf numFmtId="0" fontId="0" fillId="7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0" sqref="B30"/>
    </sheetView>
  </sheetViews>
  <sheetFormatPr defaultRowHeight="15" x14ac:dyDescent="0.25"/>
  <cols>
    <col min="1" max="1" width="33.140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10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</row>
    <row r="5" spans="1:2" x14ac:dyDescent="0.25">
      <c r="A5" t="s">
        <v>73</v>
      </c>
    </row>
    <row r="6" spans="1:2" x14ac:dyDescent="0.25">
      <c r="A6" t="s">
        <v>141</v>
      </c>
      <c r="B6" t="s">
        <v>142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C28" sqref="C28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5</v>
      </c>
      <c r="B1" s="3" t="s">
        <v>6</v>
      </c>
      <c r="C1" s="3" t="s">
        <v>7</v>
      </c>
      <c r="D1" s="3" t="s">
        <v>140</v>
      </c>
      <c r="E1" s="3" t="s">
        <v>8</v>
      </c>
    </row>
    <row r="2" spans="1:5" x14ac:dyDescent="0.25">
      <c r="A2" t="s">
        <v>48</v>
      </c>
      <c r="B2" s="5">
        <v>0</v>
      </c>
      <c r="C2" s="5">
        <v>0</v>
      </c>
      <c r="D2" t="s">
        <v>124</v>
      </c>
      <c r="E2" t="s">
        <v>23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"/>
  <sheetViews>
    <sheetView topLeftCell="C1" zoomScaleNormal="100" workbookViewId="0">
      <selection activeCell="H29" sqref="H29"/>
    </sheetView>
  </sheetViews>
  <sheetFormatPr defaultRowHeight="15" x14ac:dyDescent="0.25"/>
  <cols>
    <col min="1" max="1" width="11.42578125" bestFit="1" customWidth="1"/>
    <col min="2" max="2" width="13.85546875" bestFit="1" customWidth="1"/>
    <col min="3" max="3" width="7.140625" bestFit="1" customWidth="1"/>
    <col min="4" max="5" width="10.28515625" bestFit="1" customWidth="1"/>
    <col min="6" max="6" width="11.42578125" bestFit="1" customWidth="1"/>
    <col min="7" max="7" width="35.5703125" bestFit="1" customWidth="1"/>
    <col min="8" max="8" width="11.42578125" bestFit="1" customWidth="1"/>
    <col min="9" max="10" width="10.7109375" bestFit="1" customWidth="1"/>
    <col min="11" max="11" width="16.85546875" bestFit="1" customWidth="1"/>
    <col min="12" max="12" width="6.85546875" bestFit="1" customWidth="1"/>
    <col min="13" max="13" width="12.140625" bestFit="1" customWidth="1"/>
    <col min="14" max="14" width="11.5703125" bestFit="1" customWidth="1"/>
    <col min="15" max="15" width="8.7109375" bestFit="1" customWidth="1"/>
    <col min="16" max="16" width="19.85546875" bestFit="1" customWidth="1"/>
    <col min="17" max="17" width="59.42578125" bestFit="1" customWidth="1"/>
    <col min="18" max="18" width="10.28515625" bestFit="1" customWidth="1"/>
  </cols>
  <sheetData>
    <row r="1" spans="1:18" s="10" customFormat="1" ht="6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21" t="s">
        <v>42</v>
      </c>
      <c r="G1" s="21" t="s">
        <v>10</v>
      </c>
      <c r="H1" s="21" t="s">
        <v>11</v>
      </c>
      <c r="I1" s="25" t="s">
        <v>58</v>
      </c>
      <c r="J1" s="25" t="s">
        <v>59</v>
      </c>
      <c r="K1" s="7" t="s">
        <v>43</v>
      </c>
      <c r="L1" s="7" t="s">
        <v>60</v>
      </c>
      <c r="M1" s="7" t="s">
        <v>61</v>
      </c>
      <c r="N1" s="7" t="s">
        <v>62</v>
      </c>
      <c r="O1" s="7" t="s">
        <v>37</v>
      </c>
      <c r="P1" s="7" t="s">
        <v>132</v>
      </c>
      <c r="Q1" s="7" t="s">
        <v>44</v>
      </c>
      <c r="R1" s="7" t="s">
        <v>74</v>
      </c>
    </row>
    <row r="2" spans="1:18" x14ac:dyDescent="0.25">
      <c r="A2" t="s">
        <v>48</v>
      </c>
      <c r="B2" t="s">
        <v>71</v>
      </c>
      <c r="C2" t="s">
        <v>63</v>
      </c>
      <c r="D2">
        <v>6.2270000000808068E-4</v>
      </c>
      <c r="E2">
        <v>3.6642000000002284E-3</v>
      </c>
      <c r="F2" s="18">
        <v>365</v>
      </c>
      <c r="G2" s="18">
        <v>20</v>
      </c>
      <c r="H2" s="18">
        <v>0.02</v>
      </c>
      <c r="I2" s="26">
        <v>24</v>
      </c>
      <c r="J2" s="26">
        <v>24</v>
      </c>
      <c r="K2" t="s">
        <v>57</v>
      </c>
      <c r="L2">
        <v>0</v>
      </c>
      <c r="M2">
        <v>1E-4</v>
      </c>
      <c r="N2">
        <v>1</v>
      </c>
      <c r="O2" t="s">
        <v>12</v>
      </c>
      <c r="P2" t="s">
        <v>131</v>
      </c>
      <c r="Q2" t="s">
        <v>124</v>
      </c>
      <c r="R2" t="s">
        <v>133</v>
      </c>
    </row>
    <row r="3" spans="1:18" x14ac:dyDescent="0.25">
      <c r="A3" t="s">
        <v>48</v>
      </c>
      <c r="B3" t="s">
        <v>71</v>
      </c>
      <c r="C3" t="s">
        <v>96</v>
      </c>
      <c r="D3">
        <v>6.2270000000808068E-4</v>
      </c>
      <c r="E3">
        <v>3.6642000000002284E-3</v>
      </c>
      <c r="F3" s="18">
        <v>365</v>
      </c>
      <c r="G3" s="18">
        <v>20</v>
      </c>
      <c r="H3" s="18">
        <v>0.02</v>
      </c>
      <c r="I3" s="26">
        <v>48</v>
      </c>
      <c r="J3" s="26">
        <v>48</v>
      </c>
      <c r="K3" t="s">
        <v>57</v>
      </c>
      <c r="L3">
        <v>0</v>
      </c>
      <c r="M3">
        <v>1E-4</v>
      </c>
      <c r="N3">
        <v>1</v>
      </c>
      <c r="O3" t="s">
        <v>12</v>
      </c>
      <c r="P3" t="s">
        <v>131</v>
      </c>
      <c r="Q3" t="s">
        <v>124</v>
      </c>
      <c r="R3" t="s">
        <v>133</v>
      </c>
    </row>
    <row r="4" spans="1:18" x14ac:dyDescent="0.25">
      <c r="A4" t="s">
        <v>48</v>
      </c>
      <c r="B4" t="s">
        <v>71</v>
      </c>
      <c r="C4" t="s">
        <v>101</v>
      </c>
      <c r="D4">
        <v>6.2270000000808068E-4</v>
      </c>
      <c r="E4">
        <v>3.6642000000002284E-3</v>
      </c>
      <c r="F4" s="18">
        <v>365</v>
      </c>
      <c r="G4" s="18">
        <v>20</v>
      </c>
      <c r="H4" s="18">
        <v>0.02</v>
      </c>
      <c r="I4" s="26">
        <v>24</v>
      </c>
      <c r="J4" s="26">
        <v>24</v>
      </c>
      <c r="K4" t="s">
        <v>57</v>
      </c>
      <c r="L4">
        <v>0</v>
      </c>
      <c r="M4">
        <v>1E-4</v>
      </c>
      <c r="N4">
        <v>1</v>
      </c>
      <c r="O4" t="s">
        <v>12</v>
      </c>
      <c r="P4" t="s">
        <v>131</v>
      </c>
      <c r="Q4" t="s">
        <v>124</v>
      </c>
      <c r="R4" t="s">
        <v>133</v>
      </c>
    </row>
  </sheetData>
  <phoneticPr fontId="3" type="noConversion"/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4"/>
  <sheetViews>
    <sheetView topLeftCell="G1" workbookViewId="0">
      <selection activeCell="L19" sqref="L19"/>
    </sheetView>
  </sheetViews>
  <sheetFormatPr defaultColWidth="15.85546875" defaultRowHeight="15" x14ac:dyDescent="0.25"/>
  <cols>
    <col min="1" max="1" width="11.42578125" bestFit="1" customWidth="1"/>
    <col min="2" max="2" width="19.85546875" bestFit="1" customWidth="1"/>
    <col min="3" max="3" width="7.140625" bestFit="1" customWidth="1"/>
    <col min="4" max="4" width="8.28515625" bestFit="1" customWidth="1"/>
    <col min="5" max="5" width="9.85546875" bestFit="1" customWidth="1"/>
    <col min="7" max="7" width="35.5703125" bestFit="1" customWidth="1"/>
    <col min="8" max="8" width="11.42578125" bestFit="1" customWidth="1"/>
    <col min="9" max="9" width="13.85546875" bestFit="1" customWidth="1"/>
    <col min="10" max="10" width="10.7109375" bestFit="1" customWidth="1"/>
    <col min="11" max="11" width="12.140625" bestFit="1" customWidth="1"/>
    <col min="12" max="13" width="15.7109375" bestFit="1" customWidth="1"/>
    <col min="14" max="14" width="12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59.42578125" bestFit="1" customWidth="1"/>
    <col min="19" max="19" width="9.85546875" bestFit="1" customWidth="1"/>
  </cols>
  <sheetData>
    <row r="1" spans="1:19" s="10" customFormat="1" ht="6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21" t="s">
        <v>42</v>
      </c>
      <c r="G1" s="21" t="s">
        <v>10</v>
      </c>
      <c r="H1" s="21" t="s">
        <v>11</v>
      </c>
      <c r="I1" s="22" t="s">
        <v>58</v>
      </c>
      <c r="J1" s="22" t="s">
        <v>59</v>
      </c>
      <c r="K1" s="28" t="s">
        <v>64</v>
      </c>
      <c r="L1" s="28" t="s">
        <v>65</v>
      </c>
      <c r="M1" s="28" t="s">
        <v>66</v>
      </c>
      <c r="N1" s="28" t="s">
        <v>67</v>
      </c>
      <c r="O1" s="7" t="s">
        <v>43</v>
      </c>
      <c r="P1" s="7" t="s">
        <v>37</v>
      </c>
      <c r="Q1" s="7" t="s">
        <v>132</v>
      </c>
      <c r="R1" s="7" t="s">
        <v>44</v>
      </c>
      <c r="S1" s="7" t="s">
        <v>74</v>
      </c>
    </row>
    <row r="2" spans="1:19" x14ac:dyDescent="0.25">
      <c r="A2" t="s">
        <v>48</v>
      </c>
      <c r="B2" t="s">
        <v>72</v>
      </c>
      <c r="C2" t="s">
        <v>68</v>
      </c>
      <c r="D2">
        <v>0</v>
      </c>
      <c r="E2">
        <v>0</v>
      </c>
      <c r="F2" s="18">
        <v>365</v>
      </c>
      <c r="G2" s="18">
        <v>10</v>
      </c>
      <c r="H2" s="18">
        <v>0.02</v>
      </c>
      <c r="I2" s="20">
        <v>24</v>
      </c>
      <c r="J2" s="20">
        <v>48</v>
      </c>
      <c r="K2" s="27">
        <v>1</v>
      </c>
      <c r="L2" s="27">
        <v>60</v>
      </c>
      <c r="M2" s="27">
        <v>0</v>
      </c>
      <c r="N2" s="27">
        <v>0</v>
      </c>
      <c r="O2" t="s">
        <v>57</v>
      </c>
      <c r="P2" t="s">
        <v>12</v>
      </c>
      <c r="Q2" t="s">
        <v>131</v>
      </c>
      <c r="R2" t="s">
        <v>124</v>
      </c>
      <c r="S2" t="s">
        <v>133</v>
      </c>
    </row>
    <row r="3" spans="1:19" x14ac:dyDescent="0.25">
      <c r="A3" t="s">
        <v>48</v>
      </c>
      <c r="B3" t="s">
        <v>72</v>
      </c>
      <c r="C3" t="s">
        <v>99</v>
      </c>
      <c r="D3">
        <v>0</v>
      </c>
      <c r="E3">
        <v>0</v>
      </c>
      <c r="F3" s="18">
        <v>365</v>
      </c>
      <c r="G3" s="18">
        <v>10</v>
      </c>
      <c r="H3" s="18">
        <v>0.02</v>
      </c>
      <c r="I3" s="20">
        <v>24</v>
      </c>
      <c r="J3" s="20">
        <v>48</v>
      </c>
      <c r="K3" s="27">
        <v>2</v>
      </c>
      <c r="L3" s="27">
        <v>60</v>
      </c>
      <c r="M3" s="27">
        <v>0</v>
      </c>
      <c r="N3" s="27">
        <v>0</v>
      </c>
      <c r="O3" t="s">
        <v>57</v>
      </c>
      <c r="P3" t="s">
        <v>12</v>
      </c>
      <c r="Q3" t="s">
        <v>131</v>
      </c>
      <c r="R3" t="s">
        <v>124</v>
      </c>
      <c r="S3" t="s">
        <v>133</v>
      </c>
    </row>
    <row r="4" spans="1:19" x14ac:dyDescent="0.25">
      <c r="A4" t="s">
        <v>48</v>
      </c>
      <c r="B4" t="s">
        <v>72</v>
      </c>
      <c r="C4" t="s">
        <v>100</v>
      </c>
      <c r="D4">
        <v>0</v>
      </c>
      <c r="E4">
        <v>0</v>
      </c>
      <c r="F4" s="18">
        <v>365</v>
      </c>
      <c r="G4" s="18">
        <v>10</v>
      </c>
      <c r="H4" s="18">
        <v>0.02</v>
      </c>
      <c r="I4" s="20">
        <v>24</v>
      </c>
      <c r="J4" s="20">
        <v>48</v>
      </c>
      <c r="K4" s="27">
        <v>0.5</v>
      </c>
      <c r="L4" s="27">
        <v>60</v>
      </c>
      <c r="M4" s="27">
        <v>0</v>
      </c>
      <c r="N4" s="27">
        <v>0</v>
      </c>
      <c r="O4" t="s">
        <v>57</v>
      </c>
      <c r="P4" t="s">
        <v>12</v>
      </c>
      <c r="Q4" t="s">
        <v>131</v>
      </c>
      <c r="R4" t="s">
        <v>124</v>
      </c>
      <c r="S4" t="s">
        <v>133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39AA-DEB6-49D7-B94C-59AB84752CD9}">
  <dimension ref="A1:D8"/>
  <sheetViews>
    <sheetView workbookViewId="0">
      <selection activeCell="J30" sqref="J30"/>
    </sheetView>
  </sheetViews>
  <sheetFormatPr defaultRowHeight="15" x14ac:dyDescent="0.25"/>
  <cols>
    <col min="1" max="1" width="20" bestFit="1" customWidth="1"/>
    <col min="2" max="2" width="11.42578125" bestFit="1" customWidth="1"/>
    <col min="3" max="3" width="18.28515625" bestFit="1" customWidth="1"/>
    <col min="4" max="4" width="11.5703125" bestFit="1" customWidth="1"/>
  </cols>
  <sheetData>
    <row r="1" spans="1:4" x14ac:dyDescent="0.25">
      <c r="A1" s="1" t="s">
        <v>8</v>
      </c>
      <c r="B1" s="1" t="s">
        <v>5</v>
      </c>
      <c r="C1" s="1" t="s">
        <v>9</v>
      </c>
      <c r="D1" s="1" t="s">
        <v>13</v>
      </c>
    </row>
    <row r="2" spans="1:4" x14ac:dyDescent="0.25">
      <c r="A2" t="s">
        <v>104</v>
      </c>
      <c r="B2" t="s">
        <v>48</v>
      </c>
      <c r="C2" t="s">
        <v>105</v>
      </c>
      <c r="D2" t="s">
        <v>31</v>
      </c>
    </row>
    <row r="3" spans="1:4" x14ac:dyDescent="0.25">
      <c r="A3" t="s">
        <v>104</v>
      </c>
      <c r="B3" t="s">
        <v>48</v>
      </c>
      <c r="C3" t="s">
        <v>106</v>
      </c>
      <c r="D3" t="s">
        <v>39</v>
      </c>
    </row>
    <row r="4" spans="1:4" x14ac:dyDescent="0.25">
      <c r="A4" t="s">
        <v>104</v>
      </c>
      <c r="B4" t="s">
        <v>48</v>
      </c>
      <c r="C4" t="s">
        <v>107</v>
      </c>
      <c r="D4" t="s">
        <v>83</v>
      </c>
    </row>
    <row r="6" spans="1:4" x14ac:dyDescent="0.25">
      <c r="A6" t="s">
        <v>104</v>
      </c>
      <c r="B6" t="s">
        <v>48</v>
      </c>
      <c r="C6" t="s">
        <v>108</v>
      </c>
      <c r="D6" t="s">
        <v>31</v>
      </c>
    </row>
    <row r="7" spans="1:4" x14ac:dyDescent="0.25">
      <c r="A7" t="s">
        <v>104</v>
      </c>
      <c r="B7" t="s">
        <v>48</v>
      </c>
      <c r="C7" t="s">
        <v>109</v>
      </c>
      <c r="D7" t="s">
        <v>39</v>
      </c>
    </row>
    <row r="8" spans="1:4" x14ac:dyDescent="0.25">
      <c r="A8" t="s">
        <v>104</v>
      </c>
      <c r="B8" t="s">
        <v>48</v>
      </c>
      <c r="C8" t="s">
        <v>110</v>
      </c>
      <c r="D8" t="s">
        <v>83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3"/>
  <sheetViews>
    <sheetView topLeftCell="E1" workbookViewId="0">
      <selection activeCell="J25" sqref="J25"/>
    </sheetView>
  </sheetViews>
  <sheetFormatPr defaultRowHeight="15" x14ac:dyDescent="0.25"/>
  <cols>
    <col min="1" max="1" width="11.42578125" bestFit="1" customWidth="1"/>
    <col min="2" max="2" width="32.140625" bestFit="1" customWidth="1"/>
    <col min="3" max="3" width="13.42578125" customWidth="1"/>
    <col min="4" max="4" width="11.42578125" bestFit="1" customWidth="1"/>
    <col min="5" max="5" width="35.5703125" bestFit="1" customWidth="1"/>
    <col min="6" max="6" width="11.42578125" bestFit="1" customWidth="1"/>
    <col min="7" max="7" width="13.85546875" customWidth="1"/>
    <col min="8" max="8" width="11.42578125" customWidth="1"/>
    <col min="9" max="10" width="13.28515625" customWidth="1"/>
    <col min="11" max="11" width="17.140625" customWidth="1"/>
    <col min="12" max="12" width="17.28515625" customWidth="1"/>
    <col min="13" max="13" width="34.85546875" bestFit="1" customWidth="1"/>
    <col min="14" max="14" width="10.28515625" style="4" customWidth="1"/>
    <col min="15" max="15" width="7.85546875" bestFit="1" customWidth="1"/>
    <col min="16" max="16" width="16.28515625" customWidth="1"/>
    <col min="17" max="17" width="47.140625" bestFit="1" customWidth="1"/>
    <col min="18" max="18" width="9.85546875" bestFit="1" customWidth="1"/>
  </cols>
  <sheetData>
    <row r="1" spans="1:18" s="10" customFormat="1" ht="60" x14ac:dyDescent="0.25">
      <c r="A1" s="7" t="s">
        <v>5</v>
      </c>
      <c r="B1" s="7" t="s">
        <v>8</v>
      </c>
      <c r="C1" s="7" t="s">
        <v>9</v>
      </c>
      <c r="D1" s="8" t="s">
        <v>42</v>
      </c>
      <c r="E1" s="8" t="s">
        <v>10</v>
      </c>
      <c r="F1" s="8" t="s">
        <v>11</v>
      </c>
      <c r="G1" s="24" t="s">
        <v>69</v>
      </c>
      <c r="H1" s="24" t="s">
        <v>70</v>
      </c>
      <c r="I1" s="15" t="s">
        <v>82</v>
      </c>
      <c r="J1" s="15" t="s">
        <v>75</v>
      </c>
      <c r="K1" s="15" t="s">
        <v>80</v>
      </c>
      <c r="L1" s="15" t="s">
        <v>79</v>
      </c>
      <c r="M1" s="15" t="s">
        <v>84</v>
      </c>
      <c r="N1" s="7" t="s">
        <v>43</v>
      </c>
      <c r="O1" s="9" t="s">
        <v>40</v>
      </c>
      <c r="P1" s="9" t="s">
        <v>38</v>
      </c>
      <c r="Q1" s="7" t="s">
        <v>132</v>
      </c>
      <c r="R1" s="7" t="s">
        <v>74</v>
      </c>
    </row>
    <row r="2" spans="1:18" s="2" customFormat="1" x14ac:dyDescent="0.25">
      <c r="A2" t="s">
        <v>48</v>
      </c>
      <c r="B2" t="s">
        <v>117</v>
      </c>
      <c r="C2" t="s">
        <v>97</v>
      </c>
      <c r="D2" s="6">
        <v>365</v>
      </c>
      <c r="E2" s="6">
        <v>20</v>
      </c>
      <c r="F2" s="6">
        <v>0.02</v>
      </c>
      <c r="G2" s="23">
        <v>4</v>
      </c>
      <c r="H2" s="23">
        <v>20</v>
      </c>
      <c r="I2" s="20">
        <v>1</v>
      </c>
      <c r="J2" s="20">
        <v>0.1</v>
      </c>
      <c r="K2" s="20">
        <v>1</v>
      </c>
      <c r="L2" s="20">
        <v>3</v>
      </c>
      <c r="M2" s="20" t="s">
        <v>143</v>
      </c>
      <c r="N2" s="4" t="s">
        <v>57</v>
      </c>
      <c r="O2">
        <v>1</v>
      </c>
      <c r="P2" t="s">
        <v>76</v>
      </c>
      <c r="Q2" t="s">
        <v>134</v>
      </c>
      <c r="R2" t="s">
        <v>138</v>
      </c>
    </row>
    <row r="3" spans="1:18" s="2" customFormat="1" x14ac:dyDescent="0.25">
      <c r="A3" t="s">
        <v>48</v>
      </c>
      <c r="B3" t="s">
        <v>117</v>
      </c>
      <c r="C3" t="s">
        <v>102</v>
      </c>
      <c r="D3" s="6">
        <v>365</v>
      </c>
      <c r="E3" s="6">
        <v>20</v>
      </c>
      <c r="F3" s="6">
        <v>0.02</v>
      </c>
      <c r="G3" s="23">
        <v>4</v>
      </c>
      <c r="H3" s="23">
        <v>20</v>
      </c>
      <c r="I3" s="20">
        <v>1</v>
      </c>
      <c r="J3" s="20">
        <v>0.1</v>
      </c>
      <c r="K3" s="20">
        <v>1</v>
      </c>
      <c r="L3" s="20">
        <v>3</v>
      </c>
      <c r="M3" s="20" t="s">
        <v>143</v>
      </c>
      <c r="N3" s="4" t="s">
        <v>57</v>
      </c>
      <c r="O3">
        <v>1</v>
      </c>
      <c r="P3" t="s">
        <v>76</v>
      </c>
      <c r="Q3" t="s">
        <v>134</v>
      </c>
      <c r="R3" t="s">
        <v>138</v>
      </c>
    </row>
    <row r="5" spans="1:18" x14ac:dyDescent="0.25">
      <c r="A5" t="s">
        <v>48</v>
      </c>
      <c r="B5" t="s">
        <v>117</v>
      </c>
      <c r="C5" t="s">
        <v>98</v>
      </c>
      <c r="D5" s="6">
        <v>365</v>
      </c>
      <c r="E5" s="6">
        <v>20</v>
      </c>
      <c r="F5" s="6">
        <v>0.02</v>
      </c>
      <c r="G5" s="23">
        <v>4</v>
      </c>
      <c r="H5" s="23">
        <v>20</v>
      </c>
      <c r="I5" s="20">
        <v>1</v>
      </c>
      <c r="J5" s="20">
        <v>0.1</v>
      </c>
      <c r="K5" s="20">
        <v>1</v>
      </c>
      <c r="L5" s="20">
        <v>3</v>
      </c>
      <c r="M5" s="20" t="s">
        <v>143</v>
      </c>
      <c r="N5" s="4" t="s">
        <v>57</v>
      </c>
      <c r="O5">
        <v>1</v>
      </c>
      <c r="P5" t="s">
        <v>77</v>
      </c>
      <c r="Q5" t="s">
        <v>135</v>
      </c>
      <c r="R5" t="s">
        <v>138</v>
      </c>
    </row>
    <row r="6" spans="1:18" x14ac:dyDescent="0.25">
      <c r="A6" t="s">
        <v>48</v>
      </c>
      <c r="B6" t="s">
        <v>117</v>
      </c>
      <c r="C6" t="s">
        <v>103</v>
      </c>
      <c r="D6" s="6">
        <v>365</v>
      </c>
      <c r="E6" s="6">
        <v>20</v>
      </c>
      <c r="F6" s="6">
        <v>0.02</v>
      </c>
      <c r="G6" s="23">
        <v>4</v>
      </c>
      <c r="H6" s="23">
        <v>20</v>
      </c>
      <c r="I6" s="20">
        <v>1</v>
      </c>
      <c r="J6" s="20">
        <v>0.1</v>
      </c>
      <c r="K6" s="20">
        <v>1</v>
      </c>
      <c r="L6" s="20">
        <v>3</v>
      </c>
      <c r="M6" s="20" t="s">
        <v>143</v>
      </c>
      <c r="N6" s="4" t="s">
        <v>57</v>
      </c>
      <c r="O6">
        <v>1</v>
      </c>
      <c r="P6" t="s">
        <v>77</v>
      </c>
      <c r="Q6" t="s">
        <v>135</v>
      </c>
      <c r="R6" t="s">
        <v>138</v>
      </c>
    </row>
    <row r="13" spans="1:18" x14ac:dyDescent="0.25">
      <c r="G13" s="4"/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26967-24F3-4D4C-8FF6-7F2F6BEB5BF5}">
  <dimension ref="A1:L6"/>
  <sheetViews>
    <sheetView workbookViewId="0">
      <selection activeCell="F15" sqref="F15"/>
    </sheetView>
  </sheetViews>
  <sheetFormatPr defaultRowHeight="15" x14ac:dyDescent="0.25"/>
  <cols>
    <col min="1" max="1" width="13.28515625" customWidth="1"/>
    <col min="2" max="2" width="11.85546875" customWidth="1"/>
    <col min="3" max="3" width="17.140625" customWidth="1"/>
    <col min="4" max="4" width="17.28515625" customWidth="1"/>
    <col min="5" max="5" width="34.85546875" bestFit="1" customWidth="1"/>
    <col min="6" max="6" width="52" bestFit="1" customWidth="1"/>
    <col min="8" max="10" width="14.140625" customWidth="1"/>
    <col min="11" max="11" width="34.85546875" bestFit="1" customWidth="1"/>
    <col min="12" max="12" width="29.42578125" bestFit="1" customWidth="1"/>
  </cols>
  <sheetData>
    <row r="1" spans="1:12" ht="60" x14ac:dyDescent="0.25">
      <c r="A1" s="15" t="s">
        <v>82</v>
      </c>
      <c r="B1" s="15" t="s">
        <v>75</v>
      </c>
      <c r="C1" s="15" t="s">
        <v>80</v>
      </c>
      <c r="D1" s="15" t="s">
        <v>79</v>
      </c>
      <c r="E1" s="15" t="s">
        <v>84</v>
      </c>
      <c r="F1" s="15" t="s">
        <v>81</v>
      </c>
      <c r="H1" s="32" t="s">
        <v>112</v>
      </c>
      <c r="I1" s="32" t="s">
        <v>113</v>
      </c>
      <c r="J1" s="32" t="s">
        <v>114</v>
      </c>
      <c r="K1" s="32" t="s">
        <v>115</v>
      </c>
      <c r="L1" s="32" t="s">
        <v>116</v>
      </c>
    </row>
    <row r="2" spans="1:12" x14ac:dyDescent="0.25">
      <c r="A2" s="20">
        <v>1</v>
      </c>
      <c r="B2" s="20">
        <v>0.1</v>
      </c>
      <c r="C2" s="20">
        <v>1</v>
      </c>
      <c r="D2" s="20">
        <v>20</v>
      </c>
      <c r="E2" s="20" t="s">
        <v>94</v>
      </c>
      <c r="F2" s="34" t="s">
        <v>95</v>
      </c>
      <c r="H2" s="26">
        <v>7</v>
      </c>
      <c r="I2" s="26">
        <v>21</v>
      </c>
      <c r="J2" s="26">
        <v>2.2727000000000001E-2</v>
      </c>
      <c r="K2" s="26" t="s">
        <v>94</v>
      </c>
      <c r="L2" s="26">
        <v>0.6</v>
      </c>
    </row>
    <row r="3" spans="1:12" x14ac:dyDescent="0.25">
      <c r="A3" s="20">
        <v>1</v>
      </c>
      <c r="B3" s="20">
        <v>0.1</v>
      </c>
      <c r="C3" s="20">
        <v>1</v>
      </c>
      <c r="D3" s="20">
        <v>20</v>
      </c>
      <c r="E3" s="20" t="s">
        <v>94</v>
      </c>
      <c r="F3" s="35"/>
      <c r="H3" s="26">
        <v>7</v>
      </c>
      <c r="I3" s="26">
        <v>21</v>
      </c>
      <c r="J3" s="26">
        <v>2.2727000000000001E-2</v>
      </c>
      <c r="K3" s="26" t="s">
        <v>94</v>
      </c>
      <c r="L3" s="26">
        <v>0.6</v>
      </c>
    </row>
    <row r="4" spans="1:12" x14ac:dyDescent="0.25">
      <c r="A4" s="20"/>
      <c r="B4" s="20"/>
      <c r="C4" s="20"/>
      <c r="D4" s="20"/>
      <c r="E4" s="20"/>
      <c r="F4" s="35"/>
    </row>
    <row r="5" spans="1:12" x14ac:dyDescent="0.25">
      <c r="A5" s="20">
        <v>1</v>
      </c>
      <c r="B5" s="20">
        <v>0.1</v>
      </c>
      <c r="C5" s="20">
        <v>1</v>
      </c>
      <c r="D5" s="20">
        <v>20</v>
      </c>
      <c r="E5" s="20" t="s">
        <v>94</v>
      </c>
      <c r="F5" s="35"/>
    </row>
    <row r="6" spans="1:12" x14ac:dyDescent="0.25">
      <c r="A6" s="20">
        <v>1</v>
      </c>
      <c r="B6" s="20">
        <v>0.1</v>
      </c>
      <c r="C6" s="20">
        <v>1</v>
      </c>
      <c r="D6" s="20">
        <v>20</v>
      </c>
      <c r="E6" s="20" t="s">
        <v>94</v>
      </c>
    </row>
  </sheetData>
  <mergeCells count="1">
    <mergeCell ref="F2:F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71AB0-1172-4697-9043-351C5693FD3A}">
  <dimension ref="A1:Y3"/>
  <sheetViews>
    <sheetView topLeftCell="L1" zoomScaleNormal="100" workbookViewId="0">
      <selection activeCell="Q8" sqref="Q8"/>
    </sheetView>
  </sheetViews>
  <sheetFormatPr defaultColWidth="16" defaultRowHeight="15" x14ac:dyDescent="0.25"/>
  <cols>
    <col min="1" max="1" width="11.42578125" bestFit="1" customWidth="1"/>
    <col min="2" max="2" width="23.7109375" bestFit="1" customWidth="1"/>
    <col min="3" max="3" width="5" bestFit="1" customWidth="1"/>
    <col min="4" max="4" width="8.5703125" bestFit="1" customWidth="1"/>
    <col min="5" max="5" width="16.28515625" bestFit="1" customWidth="1"/>
    <col min="6" max="6" width="14.28515625" customWidth="1"/>
    <col min="7" max="9" width="12.140625" customWidth="1"/>
    <col min="10" max="10" width="13.140625" bestFit="1" customWidth="1"/>
    <col min="11" max="11" width="10.5703125" bestFit="1" customWidth="1"/>
    <col min="12" max="12" width="11.42578125" bestFit="1" customWidth="1"/>
    <col min="13" max="13" width="15.7109375" bestFit="1" customWidth="1"/>
    <col min="14" max="14" width="11.5703125" bestFit="1" customWidth="1"/>
    <col min="15" max="16" width="12" bestFit="1" customWidth="1"/>
    <col min="17" max="17" width="10.85546875" bestFit="1" customWidth="1"/>
    <col min="18" max="20" width="14.140625" customWidth="1"/>
    <col min="21" max="21" width="29.42578125" bestFit="1" customWidth="1"/>
    <col min="22" max="23" width="15.42578125" customWidth="1"/>
    <col min="24" max="24" width="63.7109375" bestFit="1" customWidth="1"/>
    <col min="25" max="25" width="7.5703125" bestFit="1" customWidth="1"/>
    <col min="26" max="26" width="19.85546875" bestFit="1" customWidth="1"/>
  </cols>
  <sheetData>
    <row r="1" spans="1:25" s="2" customFormat="1" ht="75" x14ac:dyDescent="0.25">
      <c r="A1" s="7" t="s">
        <v>5</v>
      </c>
      <c r="B1" s="7" t="s">
        <v>8</v>
      </c>
      <c r="C1" s="7" t="s">
        <v>9</v>
      </c>
      <c r="D1" s="7" t="s">
        <v>43</v>
      </c>
      <c r="E1" s="7" t="s">
        <v>125</v>
      </c>
      <c r="F1" s="12" t="s">
        <v>126</v>
      </c>
      <c r="G1" s="29" t="s">
        <v>10</v>
      </c>
      <c r="H1" s="8" t="s">
        <v>42</v>
      </c>
      <c r="I1" s="8" t="s">
        <v>11</v>
      </c>
      <c r="J1" s="30" t="s">
        <v>88</v>
      </c>
      <c r="K1" s="30" t="s">
        <v>89</v>
      </c>
      <c r="L1" s="13" t="s">
        <v>49</v>
      </c>
      <c r="M1" s="13" t="s">
        <v>50</v>
      </c>
      <c r="N1" s="13" t="s">
        <v>51</v>
      </c>
      <c r="O1" s="14" t="s">
        <v>52</v>
      </c>
      <c r="P1" s="14" t="s">
        <v>53</v>
      </c>
      <c r="Q1" s="14" t="s">
        <v>54</v>
      </c>
      <c r="R1" s="32" t="s">
        <v>112</v>
      </c>
      <c r="S1" s="32" t="s">
        <v>113</v>
      </c>
      <c r="T1" s="32" t="s">
        <v>114</v>
      </c>
      <c r="U1" s="32" t="s">
        <v>123</v>
      </c>
      <c r="V1" s="32" t="s">
        <v>119</v>
      </c>
      <c r="W1" s="32" t="s">
        <v>120</v>
      </c>
      <c r="X1" s="7" t="s">
        <v>132</v>
      </c>
      <c r="Y1" s="7" t="s">
        <v>74</v>
      </c>
    </row>
    <row r="2" spans="1:25" x14ac:dyDescent="0.25">
      <c r="A2" t="s">
        <v>48</v>
      </c>
      <c r="B2" t="s">
        <v>111</v>
      </c>
      <c r="C2" s="16" t="s">
        <v>90</v>
      </c>
      <c r="D2" s="4" t="s">
        <v>86</v>
      </c>
      <c r="E2" t="s">
        <v>87</v>
      </c>
      <c r="F2" t="s">
        <v>39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s="17">
        <v>0</v>
      </c>
      <c r="M2" s="17">
        <v>365</v>
      </c>
      <c r="N2" s="17">
        <v>0.34166999999999997</v>
      </c>
      <c r="O2" s="19">
        <v>0</v>
      </c>
      <c r="P2" s="19">
        <v>365</v>
      </c>
      <c r="Q2" s="19">
        <v>0.14960999999999999</v>
      </c>
      <c r="R2" s="26">
        <v>1</v>
      </c>
      <c r="S2" s="26">
        <v>15</v>
      </c>
      <c r="T2" s="26">
        <v>0.1</v>
      </c>
      <c r="U2" s="33">
        <v>1000</v>
      </c>
      <c r="V2" s="33">
        <v>5000</v>
      </c>
      <c r="W2" s="33">
        <v>3000</v>
      </c>
      <c r="X2" t="s">
        <v>137</v>
      </c>
      <c r="Y2" t="s">
        <v>139</v>
      </c>
    </row>
    <row r="3" spans="1:25" x14ac:dyDescent="0.25">
      <c r="A3" t="s">
        <v>48</v>
      </c>
      <c r="B3" t="s">
        <v>111</v>
      </c>
      <c r="C3" s="16" t="s">
        <v>55</v>
      </c>
      <c r="D3" s="4" t="s">
        <v>57</v>
      </c>
      <c r="E3" t="s">
        <v>56</v>
      </c>
      <c r="F3" t="s">
        <v>31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s="17">
        <v>0</v>
      </c>
      <c r="M3" s="17">
        <v>365</v>
      </c>
      <c r="N3" s="17">
        <v>0.34166999999999997</v>
      </c>
      <c r="O3" s="19">
        <v>0</v>
      </c>
      <c r="P3" s="19">
        <v>365</v>
      </c>
      <c r="Q3" s="19">
        <v>0.14960999999999999</v>
      </c>
      <c r="R3" s="26">
        <v>1</v>
      </c>
      <c r="S3" s="26">
        <v>15</v>
      </c>
      <c r="T3" s="26">
        <v>0.1</v>
      </c>
      <c r="U3" s="33">
        <v>1000</v>
      </c>
      <c r="V3" s="33">
        <v>5000</v>
      </c>
      <c r="W3" s="33">
        <v>3000</v>
      </c>
      <c r="X3" t="s">
        <v>136</v>
      </c>
      <c r="Y3" t="s">
        <v>139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7D789-6ADD-4A9F-BA07-E600936BA79F}">
  <dimension ref="A1:C4"/>
  <sheetViews>
    <sheetView workbookViewId="0">
      <selection activeCell="P27" sqref="P27"/>
    </sheetView>
  </sheetViews>
  <sheetFormatPr defaultRowHeight="15" x14ac:dyDescent="0.25"/>
  <cols>
    <col min="1" max="1" width="13.85546875" customWidth="1"/>
    <col min="3" max="3" width="10.5703125" bestFit="1" customWidth="1"/>
  </cols>
  <sheetData>
    <row r="1" spans="1:3" x14ac:dyDescent="0.25">
      <c r="A1" s="11" t="s">
        <v>5</v>
      </c>
      <c r="B1" s="11" t="s">
        <v>9</v>
      </c>
      <c r="C1" s="11" t="s">
        <v>8</v>
      </c>
    </row>
    <row r="2" spans="1:3" x14ac:dyDescent="0.25">
      <c r="A2" t="s">
        <v>48</v>
      </c>
      <c r="B2" t="s">
        <v>127</v>
      </c>
      <c r="C2" t="s">
        <v>118</v>
      </c>
    </row>
    <row r="3" spans="1:3" x14ac:dyDescent="0.25">
      <c r="A3" t="s">
        <v>48</v>
      </c>
      <c r="B3" t="s">
        <v>128</v>
      </c>
      <c r="C3" t="s">
        <v>118</v>
      </c>
    </row>
    <row r="4" spans="1:3" x14ac:dyDescent="0.25">
      <c r="A4" t="s">
        <v>48</v>
      </c>
      <c r="B4" t="s">
        <v>129</v>
      </c>
      <c r="C4" t="s">
        <v>118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33"/>
  <sheetViews>
    <sheetView workbookViewId="0">
      <selection activeCell="I24" sqref="I24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140625" bestFit="1" customWidth="1"/>
  </cols>
  <sheetData>
    <row r="1" spans="1:7" x14ac:dyDescent="0.25">
      <c r="A1" s="1" t="s">
        <v>8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2" spans="1:7" x14ac:dyDescent="0.25">
      <c r="A2" s="31" t="s">
        <v>32</v>
      </c>
      <c r="B2" s="31" t="s">
        <v>48</v>
      </c>
      <c r="C2" s="31" t="s">
        <v>63</v>
      </c>
      <c r="D2" s="31" t="s">
        <v>48</v>
      </c>
      <c r="E2" s="31" t="s">
        <v>97</v>
      </c>
      <c r="F2" s="31" t="s">
        <v>31</v>
      </c>
      <c r="G2" s="31"/>
    </row>
    <row r="3" spans="1:7" x14ac:dyDescent="0.25">
      <c r="A3" s="31" t="s">
        <v>32</v>
      </c>
      <c r="B3" s="31" t="s">
        <v>48</v>
      </c>
      <c r="C3" s="31" t="s">
        <v>63</v>
      </c>
      <c r="D3" s="31" t="s">
        <v>48</v>
      </c>
      <c r="E3" s="31" t="s">
        <v>97</v>
      </c>
      <c r="F3" s="31" t="s">
        <v>39</v>
      </c>
      <c r="G3" s="31"/>
    </row>
    <row r="4" spans="1:7" x14ac:dyDescent="0.25">
      <c r="A4" s="31" t="s">
        <v>32</v>
      </c>
      <c r="B4" s="31" t="s">
        <v>48</v>
      </c>
      <c r="C4" s="31" t="s">
        <v>63</v>
      </c>
      <c r="D4" s="31" t="s">
        <v>48</v>
      </c>
      <c r="E4" s="31" t="s">
        <v>97</v>
      </c>
      <c r="F4" s="31" t="s">
        <v>83</v>
      </c>
      <c r="G4" s="31"/>
    </row>
    <row r="5" spans="1:7" x14ac:dyDescent="0.25">
      <c r="A5" s="31" t="s">
        <v>32</v>
      </c>
      <c r="B5" s="31" t="s">
        <v>48</v>
      </c>
      <c r="C5" s="31" t="s">
        <v>101</v>
      </c>
      <c r="D5" s="31" t="s">
        <v>48</v>
      </c>
      <c r="E5" s="31" t="s">
        <v>97</v>
      </c>
      <c r="F5" s="31" t="s">
        <v>31</v>
      </c>
      <c r="G5" s="31"/>
    </row>
    <row r="6" spans="1:7" x14ac:dyDescent="0.25">
      <c r="A6" s="31" t="s">
        <v>32</v>
      </c>
      <c r="B6" s="31" t="s">
        <v>48</v>
      </c>
      <c r="C6" s="31" t="s">
        <v>101</v>
      </c>
      <c r="D6" s="31" t="s">
        <v>48</v>
      </c>
      <c r="E6" s="31" t="s">
        <v>97</v>
      </c>
      <c r="F6" s="31" t="s">
        <v>39</v>
      </c>
      <c r="G6" s="31"/>
    </row>
    <row r="7" spans="1:7" x14ac:dyDescent="0.25">
      <c r="A7" s="31" t="s">
        <v>32</v>
      </c>
      <c r="B7" s="31" t="s">
        <v>48</v>
      </c>
      <c r="C7" s="31" t="s">
        <v>101</v>
      </c>
      <c r="D7" s="31" t="s">
        <v>48</v>
      </c>
      <c r="E7" s="31" t="s">
        <v>97</v>
      </c>
      <c r="F7" s="31" t="s">
        <v>83</v>
      </c>
      <c r="G7" s="31"/>
    </row>
    <row r="8" spans="1:7" x14ac:dyDescent="0.25">
      <c r="A8" s="31" t="s">
        <v>32</v>
      </c>
      <c r="B8" s="31" t="s">
        <v>48</v>
      </c>
      <c r="C8" s="31" t="s">
        <v>96</v>
      </c>
      <c r="D8" s="31" t="s">
        <v>48</v>
      </c>
      <c r="E8" s="31" t="s">
        <v>102</v>
      </c>
      <c r="F8" s="31" t="s">
        <v>31</v>
      </c>
      <c r="G8" s="31"/>
    </row>
    <row r="9" spans="1:7" x14ac:dyDescent="0.25">
      <c r="A9" s="31" t="s">
        <v>32</v>
      </c>
      <c r="B9" s="31" t="s">
        <v>48</v>
      </c>
      <c r="C9" s="31" t="s">
        <v>96</v>
      </c>
      <c r="D9" s="31" t="s">
        <v>48</v>
      </c>
      <c r="E9" s="31" t="s">
        <v>102</v>
      </c>
      <c r="F9" s="31" t="s">
        <v>39</v>
      </c>
      <c r="G9" s="31"/>
    </row>
    <row r="10" spans="1:7" x14ac:dyDescent="0.25">
      <c r="A10" s="31" t="s">
        <v>32</v>
      </c>
      <c r="B10" s="31" t="s">
        <v>48</v>
      </c>
      <c r="C10" s="31" t="s">
        <v>96</v>
      </c>
      <c r="D10" s="31" t="s">
        <v>48</v>
      </c>
      <c r="E10" s="31" t="s">
        <v>102</v>
      </c>
      <c r="F10" s="31" t="s">
        <v>83</v>
      </c>
      <c r="G10" s="31"/>
    </row>
    <row r="12" spans="1:7" x14ac:dyDescent="0.25">
      <c r="A12" s="31" t="s">
        <v>32</v>
      </c>
      <c r="B12" s="31" t="s">
        <v>48</v>
      </c>
      <c r="C12" s="31" t="s">
        <v>97</v>
      </c>
      <c r="D12" s="31" t="s">
        <v>48</v>
      </c>
      <c r="E12" s="31" t="s">
        <v>98</v>
      </c>
      <c r="F12" s="31" t="s">
        <v>31</v>
      </c>
      <c r="G12" s="31" t="s">
        <v>93</v>
      </c>
    </row>
    <row r="13" spans="1:7" x14ac:dyDescent="0.25">
      <c r="A13" s="31" t="s">
        <v>32</v>
      </c>
      <c r="B13" s="31" t="s">
        <v>48</v>
      </c>
      <c r="C13" s="31" t="s">
        <v>97</v>
      </c>
      <c r="D13" s="31" t="s">
        <v>48</v>
      </c>
      <c r="E13" s="31" t="s">
        <v>98</v>
      </c>
      <c r="F13" s="31" t="s">
        <v>39</v>
      </c>
      <c r="G13" s="31" t="s">
        <v>78</v>
      </c>
    </row>
    <row r="14" spans="1:7" x14ac:dyDescent="0.25">
      <c r="A14" s="31" t="s">
        <v>32</v>
      </c>
      <c r="B14" s="31" t="s">
        <v>48</v>
      </c>
      <c r="C14" s="31" t="s">
        <v>97</v>
      </c>
      <c r="D14" s="31" t="s">
        <v>48</v>
      </c>
      <c r="E14" s="31" t="s">
        <v>98</v>
      </c>
      <c r="F14" s="31" t="s">
        <v>83</v>
      </c>
      <c r="G14" s="31" t="s">
        <v>85</v>
      </c>
    </row>
    <row r="15" spans="1:7" x14ac:dyDescent="0.25">
      <c r="A15" s="31" t="s">
        <v>32</v>
      </c>
      <c r="B15" s="31" t="s">
        <v>48</v>
      </c>
      <c r="C15" s="31" t="s">
        <v>97</v>
      </c>
      <c r="D15" s="31" t="s">
        <v>48</v>
      </c>
      <c r="E15" s="31" t="s">
        <v>98</v>
      </c>
      <c r="F15" s="31" t="s">
        <v>83</v>
      </c>
      <c r="G15" s="31" t="s">
        <v>91</v>
      </c>
    </row>
    <row r="16" spans="1:7" x14ac:dyDescent="0.25">
      <c r="A16" s="31" t="s">
        <v>32</v>
      </c>
      <c r="B16" s="31" t="s">
        <v>48</v>
      </c>
      <c r="C16" s="31" t="s">
        <v>97</v>
      </c>
      <c r="D16" s="31" t="s">
        <v>48</v>
      </c>
      <c r="E16" s="31" t="s">
        <v>98</v>
      </c>
      <c r="F16" s="31" t="s">
        <v>83</v>
      </c>
      <c r="G16" s="31" t="s">
        <v>92</v>
      </c>
    </row>
    <row r="17" spans="1:7" x14ac:dyDescent="0.25">
      <c r="A17" s="31" t="s">
        <v>32</v>
      </c>
      <c r="B17" s="31" t="s">
        <v>48</v>
      </c>
      <c r="C17" s="31" t="s">
        <v>102</v>
      </c>
      <c r="D17" s="31" t="s">
        <v>48</v>
      </c>
      <c r="E17" s="31" t="s">
        <v>103</v>
      </c>
      <c r="F17" s="31" t="s">
        <v>31</v>
      </c>
      <c r="G17" s="31" t="s">
        <v>93</v>
      </c>
    </row>
    <row r="18" spans="1:7" x14ac:dyDescent="0.25">
      <c r="A18" s="31" t="s">
        <v>32</v>
      </c>
      <c r="B18" s="31" t="s">
        <v>48</v>
      </c>
      <c r="C18" s="31" t="s">
        <v>102</v>
      </c>
      <c r="D18" s="31" t="s">
        <v>48</v>
      </c>
      <c r="E18" s="31" t="s">
        <v>103</v>
      </c>
      <c r="F18" s="31" t="s">
        <v>39</v>
      </c>
      <c r="G18" s="31" t="s">
        <v>78</v>
      </c>
    </row>
    <row r="19" spans="1:7" x14ac:dyDescent="0.25">
      <c r="A19" s="31" t="s">
        <v>32</v>
      </c>
      <c r="B19" s="31" t="s">
        <v>48</v>
      </c>
      <c r="C19" s="31" t="s">
        <v>102</v>
      </c>
      <c r="D19" s="31" t="s">
        <v>48</v>
      </c>
      <c r="E19" s="31" t="s">
        <v>103</v>
      </c>
      <c r="F19" s="31" t="s">
        <v>83</v>
      </c>
      <c r="G19" s="31" t="s">
        <v>85</v>
      </c>
    </row>
    <row r="20" spans="1:7" x14ac:dyDescent="0.25">
      <c r="A20" s="31" t="s">
        <v>32</v>
      </c>
      <c r="B20" s="31" t="s">
        <v>48</v>
      </c>
      <c r="C20" s="31" t="s">
        <v>102</v>
      </c>
      <c r="D20" s="31" t="s">
        <v>48</v>
      </c>
      <c r="E20" s="31" t="s">
        <v>103</v>
      </c>
      <c r="F20" s="31" t="s">
        <v>83</v>
      </c>
      <c r="G20" s="31" t="s">
        <v>91</v>
      </c>
    </row>
    <row r="21" spans="1:7" x14ac:dyDescent="0.25">
      <c r="A21" s="31" t="s">
        <v>32</v>
      </c>
      <c r="B21" s="31" t="s">
        <v>48</v>
      </c>
      <c r="C21" s="31" t="s">
        <v>102</v>
      </c>
      <c r="D21" s="31" t="s">
        <v>48</v>
      </c>
      <c r="E21" s="31" t="s">
        <v>103</v>
      </c>
      <c r="F21" s="31" t="s">
        <v>83</v>
      </c>
      <c r="G21" s="31" t="s">
        <v>92</v>
      </c>
    </row>
    <row r="23" spans="1:7" x14ac:dyDescent="0.25">
      <c r="A23" s="31" t="s">
        <v>32</v>
      </c>
      <c r="B23" s="31" t="s">
        <v>48</v>
      </c>
      <c r="C23" s="31" t="s">
        <v>98</v>
      </c>
      <c r="D23" s="31" t="s">
        <v>48</v>
      </c>
      <c r="E23" s="31" t="s">
        <v>90</v>
      </c>
      <c r="F23" s="31" t="s">
        <v>39</v>
      </c>
      <c r="G23" s="31" t="s">
        <v>78</v>
      </c>
    </row>
    <row r="24" spans="1:7" x14ac:dyDescent="0.25">
      <c r="A24" s="31" t="s">
        <v>32</v>
      </c>
      <c r="B24" s="31" t="s">
        <v>48</v>
      </c>
      <c r="C24" s="31" t="s">
        <v>103</v>
      </c>
      <c r="D24" s="31" t="s">
        <v>48</v>
      </c>
      <c r="E24" s="31" t="s">
        <v>90</v>
      </c>
      <c r="F24" s="31" t="s">
        <v>39</v>
      </c>
      <c r="G24" s="31" t="s">
        <v>78</v>
      </c>
    </row>
    <row r="26" spans="1:7" x14ac:dyDescent="0.25">
      <c r="A26" s="31" t="s">
        <v>32</v>
      </c>
      <c r="B26" s="31" t="s">
        <v>48</v>
      </c>
      <c r="C26" s="31" t="s">
        <v>98</v>
      </c>
      <c r="D26" s="31" t="s">
        <v>48</v>
      </c>
      <c r="E26" s="31" t="s">
        <v>55</v>
      </c>
      <c r="F26" s="31" t="s">
        <v>31</v>
      </c>
      <c r="G26" s="31" t="s">
        <v>93</v>
      </c>
    </row>
    <row r="27" spans="1:7" x14ac:dyDescent="0.25">
      <c r="A27" s="31" t="s">
        <v>32</v>
      </c>
      <c r="B27" s="31" t="s">
        <v>48</v>
      </c>
      <c r="C27" s="31" t="s">
        <v>98</v>
      </c>
      <c r="D27" s="31" t="s">
        <v>48</v>
      </c>
      <c r="E27" s="31" t="s">
        <v>55</v>
      </c>
      <c r="F27" s="31" t="s">
        <v>83</v>
      </c>
      <c r="G27" s="31" t="s">
        <v>85</v>
      </c>
    </row>
    <row r="28" spans="1:7" x14ac:dyDescent="0.25">
      <c r="A28" s="31" t="s">
        <v>32</v>
      </c>
      <c r="B28" s="31" t="s">
        <v>48</v>
      </c>
      <c r="C28" s="31" t="s">
        <v>98</v>
      </c>
      <c r="D28" s="31" t="s">
        <v>48</v>
      </c>
      <c r="E28" s="31" t="s">
        <v>55</v>
      </c>
      <c r="F28" s="31" t="s">
        <v>83</v>
      </c>
      <c r="G28" s="31" t="s">
        <v>91</v>
      </c>
    </row>
    <row r="29" spans="1:7" x14ac:dyDescent="0.25">
      <c r="A29" s="31" t="s">
        <v>32</v>
      </c>
      <c r="B29" s="31" t="s">
        <v>48</v>
      </c>
      <c r="C29" s="31" t="s">
        <v>98</v>
      </c>
      <c r="D29" s="31" t="s">
        <v>48</v>
      </c>
      <c r="E29" s="31" t="s">
        <v>55</v>
      </c>
      <c r="F29" s="31" t="s">
        <v>83</v>
      </c>
      <c r="G29" s="31" t="s">
        <v>92</v>
      </c>
    </row>
    <row r="30" spans="1:7" x14ac:dyDescent="0.25">
      <c r="A30" s="31" t="s">
        <v>32</v>
      </c>
      <c r="B30" s="31" t="s">
        <v>48</v>
      </c>
      <c r="C30" s="31" t="s">
        <v>103</v>
      </c>
      <c r="D30" s="31" t="s">
        <v>48</v>
      </c>
      <c r="E30" s="31" t="s">
        <v>55</v>
      </c>
      <c r="F30" s="31" t="s">
        <v>31</v>
      </c>
      <c r="G30" s="31" t="s">
        <v>93</v>
      </c>
    </row>
    <row r="31" spans="1:7" x14ac:dyDescent="0.25">
      <c r="A31" s="31" t="s">
        <v>32</v>
      </c>
      <c r="B31" s="31" t="s">
        <v>48</v>
      </c>
      <c r="C31" s="31" t="s">
        <v>103</v>
      </c>
      <c r="D31" s="31" t="s">
        <v>48</v>
      </c>
      <c r="E31" s="31" t="s">
        <v>55</v>
      </c>
      <c r="F31" s="31" t="s">
        <v>83</v>
      </c>
      <c r="G31" s="31" t="s">
        <v>85</v>
      </c>
    </row>
    <row r="32" spans="1:7" x14ac:dyDescent="0.25">
      <c r="A32" s="31" t="s">
        <v>32</v>
      </c>
      <c r="B32" s="31" t="s">
        <v>48</v>
      </c>
      <c r="C32" s="31" t="s">
        <v>103</v>
      </c>
      <c r="D32" s="31" t="s">
        <v>48</v>
      </c>
      <c r="E32" s="31" t="s">
        <v>55</v>
      </c>
      <c r="F32" s="31" t="s">
        <v>83</v>
      </c>
      <c r="G32" s="31" t="s">
        <v>91</v>
      </c>
    </row>
    <row r="33" spans="1:7" x14ac:dyDescent="0.25">
      <c r="A33" s="31" t="s">
        <v>32</v>
      </c>
      <c r="B33" s="31" t="s">
        <v>48</v>
      </c>
      <c r="C33" s="31" t="s">
        <v>103</v>
      </c>
      <c r="D33" s="31" t="s">
        <v>48</v>
      </c>
      <c r="E33" s="31" t="s">
        <v>55</v>
      </c>
      <c r="F33" s="31" t="s">
        <v>83</v>
      </c>
      <c r="G33" s="31" t="s">
        <v>92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8BCD-50B3-4F7E-862F-3A5366C68F96}">
  <dimension ref="A1:G40"/>
  <sheetViews>
    <sheetView workbookViewId="0">
      <selection sqref="A1:G1048576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28515625" bestFit="1" customWidth="1"/>
    <col min="4" max="4" width="13.85546875" bestFit="1" customWidth="1"/>
    <col min="5" max="5" width="18.7109375" customWidth="1"/>
    <col min="6" max="6" width="11.5703125" bestFit="1" customWidth="1"/>
    <col min="7" max="7" width="23.85546875" bestFit="1" customWidth="1"/>
  </cols>
  <sheetData>
    <row r="1" spans="1:7" x14ac:dyDescent="0.25">
      <c r="A1" s="1" t="s">
        <v>8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2" spans="1:7" x14ac:dyDescent="0.25">
      <c r="A2" s="31" t="s">
        <v>32</v>
      </c>
      <c r="B2" s="31" t="s">
        <v>48</v>
      </c>
      <c r="C2" s="31" t="s">
        <v>63</v>
      </c>
      <c r="D2" s="31" t="s">
        <v>48</v>
      </c>
      <c r="E2" s="31" t="s">
        <v>105</v>
      </c>
      <c r="F2" s="31" t="s">
        <v>31</v>
      </c>
      <c r="G2" s="31"/>
    </row>
    <row r="3" spans="1:7" x14ac:dyDescent="0.25">
      <c r="A3" s="31" t="s">
        <v>32</v>
      </c>
      <c r="B3" s="31" t="s">
        <v>48</v>
      </c>
      <c r="C3" s="31" t="s">
        <v>63</v>
      </c>
      <c r="D3" s="31" t="s">
        <v>48</v>
      </c>
      <c r="E3" s="31" t="s">
        <v>106</v>
      </c>
      <c r="F3" s="31" t="s">
        <v>39</v>
      </c>
      <c r="G3" s="31"/>
    </row>
    <row r="4" spans="1:7" x14ac:dyDescent="0.25">
      <c r="A4" s="31" t="s">
        <v>32</v>
      </c>
      <c r="B4" s="31" t="s">
        <v>48</v>
      </c>
      <c r="C4" s="31" t="s">
        <v>63</v>
      </c>
      <c r="D4" s="31" t="s">
        <v>48</v>
      </c>
      <c r="E4" s="31" t="s">
        <v>107</v>
      </c>
      <c r="F4" s="31" t="s">
        <v>83</v>
      </c>
      <c r="G4" s="31"/>
    </row>
    <row r="5" spans="1:7" x14ac:dyDescent="0.25">
      <c r="A5" s="31" t="s">
        <v>32</v>
      </c>
      <c r="B5" s="31" t="s">
        <v>48</v>
      </c>
      <c r="C5" s="31" t="s">
        <v>96</v>
      </c>
      <c r="D5" s="31" t="s">
        <v>48</v>
      </c>
      <c r="E5" s="31" t="s">
        <v>105</v>
      </c>
      <c r="F5" s="31" t="s">
        <v>31</v>
      </c>
      <c r="G5" s="31"/>
    </row>
    <row r="6" spans="1:7" x14ac:dyDescent="0.25">
      <c r="A6" s="31" t="s">
        <v>32</v>
      </c>
      <c r="B6" s="31" t="s">
        <v>48</v>
      </c>
      <c r="C6" s="31" t="s">
        <v>96</v>
      </c>
      <c r="D6" s="31" t="s">
        <v>48</v>
      </c>
      <c r="E6" s="31" t="s">
        <v>106</v>
      </c>
      <c r="F6" s="31" t="s">
        <v>39</v>
      </c>
      <c r="G6" s="31"/>
    </row>
    <row r="7" spans="1:7" x14ac:dyDescent="0.25">
      <c r="A7" s="31" t="s">
        <v>32</v>
      </c>
      <c r="B7" s="31" t="s">
        <v>48</v>
      </c>
      <c r="C7" s="31" t="s">
        <v>96</v>
      </c>
      <c r="D7" s="31" t="s">
        <v>48</v>
      </c>
      <c r="E7" s="31" t="s">
        <v>107</v>
      </c>
      <c r="F7" s="31" t="s">
        <v>83</v>
      </c>
      <c r="G7" s="31"/>
    </row>
    <row r="8" spans="1:7" x14ac:dyDescent="0.25">
      <c r="A8" s="31" t="s">
        <v>32</v>
      </c>
      <c r="B8" s="31" t="s">
        <v>48</v>
      </c>
      <c r="C8" s="31" t="s">
        <v>101</v>
      </c>
      <c r="D8" s="31" t="s">
        <v>48</v>
      </c>
      <c r="E8" s="31" t="s">
        <v>108</v>
      </c>
      <c r="F8" s="31" t="s">
        <v>31</v>
      </c>
      <c r="G8" s="31"/>
    </row>
    <row r="9" spans="1:7" x14ac:dyDescent="0.25">
      <c r="A9" s="31" t="s">
        <v>32</v>
      </c>
      <c r="B9" s="31" t="s">
        <v>48</v>
      </c>
      <c r="C9" s="31" t="s">
        <v>101</v>
      </c>
      <c r="D9" s="31" t="s">
        <v>48</v>
      </c>
      <c r="E9" s="31" t="s">
        <v>109</v>
      </c>
      <c r="F9" s="31" t="s">
        <v>39</v>
      </c>
      <c r="G9" s="31"/>
    </row>
    <row r="10" spans="1:7" x14ac:dyDescent="0.25">
      <c r="A10" s="31" t="s">
        <v>32</v>
      </c>
      <c r="B10" s="31" t="s">
        <v>48</v>
      </c>
      <c r="C10" s="31" t="s">
        <v>101</v>
      </c>
      <c r="D10" s="31" t="s">
        <v>48</v>
      </c>
      <c r="E10" s="31" t="s">
        <v>110</v>
      </c>
      <c r="F10" s="31" t="s">
        <v>83</v>
      </c>
      <c r="G10" s="31"/>
    </row>
    <row r="12" spans="1:7" x14ac:dyDescent="0.25">
      <c r="A12" s="31" t="s">
        <v>32</v>
      </c>
      <c r="B12" s="31" t="s">
        <v>48</v>
      </c>
      <c r="C12" s="31" t="s">
        <v>105</v>
      </c>
      <c r="D12" s="31" t="s">
        <v>48</v>
      </c>
      <c r="E12" s="31" t="s">
        <v>97</v>
      </c>
      <c r="F12" s="31" t="s">
        <v>31</v>
      </c>
      <c r="G12" s="31"/>
    </row>
    <row r="13" spans="1:7" x14ac:dyDescent="0.25">
      <c r="A13" s="31" t="s">
        <v>32</v>
      </c>
      <c r="B13" s="31" t="s">
        <v>48</v>
      </c>
      <c r="C13" s="31" t="s">
        <v>106</v>
      </c>
      <c r="D13" s="31" t="s">
        <v>48</v>
      </c>
      <c r="E13" s="31" t="s">
        <v>97</v>
      </c>
      <c r="F13" s="31" t="s">
        <v>39</v>
      </c>
      <c r="G13" s="31"/>
    </row>
    <row r="14" spans="1:7" x14ac:dyDescent="0.25">
      <c r="A14" s="31" t="s">
        <v>32</v>
      </c>
      <c r="B14" s="31" t="s">
        <v>48</v>
      </c>
      <c r="C14" s="31" t="s">
        <v>107</v>
      </c>
      <c r="D14" s="31" t="s">
        <v>48</v>
      </c>
      <c r="E14" s="31" t="s">
        <v>97</v>
      </c>
      <c r="F14" s="31" t="s">
        <v>83</v>
      </c>
      <c r="G14" s="31"/>
    </row>
    <row r="15" spans="1:7" x14ac:dyDescent="0.25">
      <c r="A15" s="31" t="s">
        <v>32</v>
      </c>
      <c r="B15" s="31" t="s">
        <v>48</v>
      </c>
      <c r="C15" s="31" t="s">
        <v>108</v>
      </c>
      <c r="D15" s="31" t="s">
        <v>48</v>
      </c>
      <c r="E15" s="31" t="s">
        <v>102</v>
      </c>
      <c r="F15" s="31" t="s">
        <v>31</v>
      </c>
      <c r="G15" s="31"/>
    </row>
    <row r="16" spans="1:7" x14ac:dyDescent="0.25">
      <c r="A16" s="31" t="s">
        <v>32</v>
      </c>
      <c r="B16" s="31" t="s">
        <v>48</v>
      </c>
      <c r="C16" s="31" t="s">
        <v>109</v>
      </c>
      <c r="D16" s="31" t="s">
        <v>48</v>
      </c>
      <c r="E16" s="31" t="s">
        <v>102</v>
      </c>
      <c r="F16" s="31" t="s">
        <v>39</v>
      </c>
      <c r="G16" s="31"/>
    </row>
    <row r="17" spans="1:7" x14ac:dyDescent="0.25">
      <c r="A17" s="31" t="s">
        <v>32</v>
      </c>
      <c r="B17" s="31" t="s">
        <v>48</v>
      </c>
      <c r="C17" s="31" t="s">
        <v>110</v>
      </c>
      <c r="D17" s="31" t="s">
        <v>48</v>
      </c>
      <c r="E17" s="31" t="s">
        <v>102</v>
      </c>
      <c r="F17" s="31" t="s">
        <v>83</v>
      </c>
      <c r="G17" s="31"/>
    </row>
    <row r="19" spans="1:7" x14ac:dyDescent="0.25">
      <c r="A19" s="31" t="s">
        <v>32</v>
      </c>
      <c r="B19" s="31" t="s">
        <v>48</v>
      </c>
      <c r="C19" s="31" t="s">
        <v>97</v>
      </c>
      <c r="D19" s="31" t="s">
        <v>48</v>
      </c>
      <c r="E19" s="31" t="s">
        <v>98</v>
      </c>
      <c r="F19" s="31" t="s">
        <v>31</v>
      </c>
      <c r="G19" s="31" t="s">
        <v>93</v>
      </c>
    </row>
    <row r="20" spans="1:7" x14ac:dyDescent="0.25">
      <c r="A20" s="31" t="s">
        <v>32</v>
      </c>
      <c r="B20" s="31" t="s">
        <v>48</v>
      </c>
      <c r="C20" s="31" t="s">
        <v>97</v>
      </c>
      <c r="D20" s="31" t="s">
        <v>48</v>
      </c>
      <c r="E20" s="31" t="s">
        <v>98</v>
      </c>
      <c r="F20" s="31" t="s">
        <v>39</v>
      </c>
      <c r="G20" s="31" t="s">
        <v>78</v>
      </c>
    </row>
    <row r="21" spans="1:7" x14ac:dyDescent="0.25">
      <c r="A21" s="31" t="s">
        <v>32</v>
      </c>
      <c r="B21" s="31" t="s">
        <v>48</v>
      </c>
      <c r="C21" s="31" t="s">
        <v>97</v>
      </c>
      <c r="D21" s="31" t="s">
        <v>48</v>
      </c>
      <c r="E21" s="31" t="s">
        <v>98</v>
      </c>
      <c r="F21" s="31" t="s">
        <v>83</v>
      </c>
      <c r="G21" s="31" t="s">
        <v>85</v>
      </c>
    </row>
    <row r="22" spans="1:7" x14ac:dyDescent="0.25">
      <c r="A22" s="31" t="s">
        <v>32</v>
      </c>
      <c r="B22" s="31" t="s">
        <v>48</v>
      </c>
      <c r="C22" s="31" t="s">
        <v>97</v>
      </c>
      <c r="D22" s="31" t="s">
        <v>48</v>
      </c>
      <c r="E22" s="31" t="s">
        <v>98</v>
      </c>
      <c r="F22" s="31" t="s">
        <v>83</v>
      </c>
      <c r="G22" s="31" t="s">
        <v>91</v>
      </c>
    </row>
    <row r="23" spans="1:7" x14ac:dyDescent="0.25">
      <c r="A23" s="31" t="s">
        <v>32</v>
      </c>
      <c r="B23" s="31" t="s">
        <v>48</v>
      </c>
      <c r="C23" s="31" t="s">
        <v>97</v>
      </c>
      <c r="D23" s="31" t="s">
        <v>48</v>
      </c>
      <c r="E23" s="31" t="s">
        <v>98</v>
      </c>
      <c r="F23" s="31" t="s">
        <v>83</v>
      </c>
      <c r="G23" s="31" t="s">
        <v>92</v>
      </c>
    </row>
    <row r="24" spans="1:7" x14ac:dyDescent="0.25">
      <c r="A24" s="31" t="s">
        <v>32</v>
      </c>
      <c r="B24" s="31" t="s">
        <v>48</v>
      </c>
      <c r="C24" s="31" t="s">
        <v>102</v>
      </c>
      <c r="D24" s="31" t="s">
        <v>48</v>
      </c>
      <c r="E24" s="31" t="s">
        <v>103</v>
      </c>
      <c r="F24" s="31" t="s">
        <v>31</v>
      </c>
      <c r="G24" s="31" t="s">
        <v>93</v>
      </c>
    </row>
    <row r="25" spans="1:7" x14ac:dyDescent="0.25">
      <c r="A25" s="31" t="s">
        <v>32</v>
      </c>
      <c r="B25" s="31" t="s">
        <v>48</v>
      </c>
      <c r="C25" s="31" t="s">
        <v>102</v>
      </c>
      <c r="D25" s="31" t="s">
        <v>48</v>
      </c>
      <c r="E25" s="31" t="s">
        <v>103</v>
      </c>
      <c r="F25" s="31" t="s">
        <v>39</v>
      </c>
      <c r="G25" s="31" t="s">
        <v>78</v>
      </c>
    </row>
    <row r="26" spans="1:7" x14ac:dyDescent="0.25">
      <c r="A26" s="31" t="s">
        <v>32</v>
      </c>
      <c r="B26" s="31" t="s">
        <v>48</v>
      </c>
      <c r="C26" s="31" t="s">
        <v>102</v>
      </c>
      <c r="D26" s="31" t="s">
        <v>48</v>
      </c>
      <c r="E26" s="31" t="s">
        <v>103</v>
      </c>
      <c r="F26" s="31" t="s">
        <v>83</v>
      </c>
      <c r="G26" s="31" t="s">
        <v>85</v>
      </c>
    </row>
    <row r="27" spans="1:7" x14ac:dyDescent="0.25">
      <c r="A27" s="31" t="s">
        <v>32</v>
      </c>
      <c r="B27" s="31" t="s">
        <v>48</v>
      </c>
      <c r="C27" s="31" t="s">
        <v>102</v>
      </c>
      <c r="D27" s="31" t="s">
        <v>48</v>
      </c>
      <c r="E27" s="31" t="s">
        <v>103</v>
      </c>
      <c r="F27" s="31" t="s">
        <v>83</v>
      </c>
      <c r="G27" s="31" t="s">
        <v>91</v>
      </c>
    </row>
    <row r="28" spans="1:7" x14ac:dyDescent="0.25">
      <c r="A28" s="31" t="s">
        <v>32</v>
      </c>
      <c r="B28" s="31" t="s">
        <v>48</v>
      </c>
      <c r="C28" s="31" t="s">
        <v>102</v>
      </c>
      <c r="D28" s="31" t="s">
        <v>48</v>
      </c>
      <c r="E28" s="31" t="s">
        <v>103</v>
      </c>
      <c r="F28" s="31" t="s">
        <v>83</v>
      </c>
      <c r="G28" s="31" t="s">
        <v>92</v>
      </c>
    </row>
    <row r="30" spans="1:7" x14ac:dyDescent="0.25">
      <c r="A30" s="31" t="s">
        <v>32</v>
      </c>
      <c r="B30" s="31" t="s">
        <v>48</v>
      </c>
      <c r="C30" s="31" t="s">
        <v>98</v>
      </c>
      <c r="D30" s="31" t="s">
        <v>48</v>
      </c>
      <c r="E30" s="31" t="s">
        <v>90</v>
      </c>
      <c r="F30" s="31" t="s">
        <v>39</v>
      </c>
      <c r="G30" s="31" t="s">
        <v>78</v>
      </c>
    </row>
    <row r="31" spans="1:7" x14ac:dyDescent="0.25">
      <c r="A31" s="31" t="s">
        <v>32</v>
      </c>
      <c r="B31" s="31" t="s">
        <v>48</v>
      </c>
      <c r="C31" s="31" t="s">
        <v>103</v>
      </c>
      <c r="D31" s="31" t="s">
        <v>48</v>
      </c>
      <c r="E31" s="31" t="s">
        <v>90</v>
      </c>
      <c r="F31" s="31" t="s">
        <v>39</v>
      </c>
      <c r="G31" s="31" t="s">
        <v>78</v>
      </c>
    </row>
    <row r="33" spans="1:7" x14ac:dyDescent="0.25">
      <c r="A33" s="31" t="s">
        <v>32</v>
      </c>
      <c r="B33" s="31" t="s">
        <v>48</v>
      </c>
      <c r="C33" s="31" t="s">
        <v>98</v>
      </c>
      <c r="D33" s="31" t="s">
        <v>48</v>
      </c>
      <c r="E33" s="31" t="s">
        <v>55</v>
      </c>
      <c r="F33" s="31" t="s">
        <v>31</v>
      </c>
      <c r="G33" s="31" t="s">
        <v>93</v>
      </c>
    </row>
    <row r="34" spans="1:7" x14ac:dyDescent="0.25">
      <c r="A34" s="31" t="s">
        <v>32</v>
      </c>
      <c r="B34" s="31" t="s">
        <v>48</v>
      </c>
      <c r="C34" s="31" t="s">
        <v>98</v>
      </c>
      <c r="D34" s="31" t="s">
        <v>48</v>
      </c>
      <c r="E34" s="31" t="s">
        <v>55</v>
      </c>
      <c r="F34" s="31" t="s">
        <v>83</v>
      </c>
      <c r="G34" s="31" t="s">
        <v>85</v>
      </c>
    </row>
    <row r="35" spans="1:7" x14ac:dyDescent="0.25">
      <c r="A35" s="31" t="s">
        <v>32</v>
      </c>
      <c r="B35" s="31" t="s">
        <v>48</v>
      </c>
      <c r="C35" s="31" t="s">
        <v>98</v>
      </c>
      <c r="D35" s="31" t="s">
        <v>48</v>
      </c>
      <c r="E35" s="31" t="s">
        <v>55</v>
      </c>
      <c r="F35" s="31" t="s">
        <v>83</v>
      </c>
      <c r="G35" s="31" t="s">
        <v>91</v>
      </c>
    </row>
    <row r="36" spans="1:7" x14ac:dyDescent="0.25">
      <c r="A36" s="31" t="s">
        <v>32</v>
      </c>
      <c r="B36" s="31" t="s">
        <v>48</v>
      </c>
      <c r="C36" s="31" t="s">
        <v>98</v>
      </c>
      <c r="D36" s="31" t="s">
        <v>48</v>
      </c>
      <c r="E36" s="31" t="s">
        <v>55</v>
      </c>
      <c r="F36" s="31" t="s">
        <v>83</v>
      </c>
      <c r="G36" s="31" t="s">
        <v>92</v>
      </c>
    </row>
    <row r="37" spans="1:7" x14ac:dyDescent="0.25">
      <c r="A37" s="31" t="s">
        <v>32</v>
      </c>
      <c r="B37" s="31" t="s">
        <v>48</v>
      </c>
      <c r="C37" s="31" t="s">
        <v>103</v>
      </c>
      <c r="D37" s="31" t="s">
        <v>48</v>
      </c>
      <c r="E37" s="31" t="s">
        <v>55</v>
      </c>
      <c r="F37" s="31" t="s">
        <v>31</v>
      </c>
      <c r="G37" s="31" t="s">
        <v>93</v>
      </c>
    </row>
    <row r="38" spans="1:7" x14ac:dyDescent="0.25">
      <c r="A38" s="31" t="s">
        <v>32</v>
      </c>
      <c r="B38" s="31" t="s">
        <v>48</v>
      </c>
      <c r="C38" s="31" t="s">
        <v>103</v>
      </c>
      <c r="D38" s="31" t="s">
        <v>48</v>
      </c>
      <c r="E38" s="31" t="s">
        <v>55</v>
      </c>
      <c r="F38" s="31" t="s">
        <v>83</v>
      </c>
      <c r="G38" s="31" t="s">
        <v>85</v>
      </c>
    </row>
    <row r="39" spans="1:7" x14ac:dyDescent="0.25">
      <c r="A39" s="31" t="s">
        <v>32</v>
      </c>
      <c r="B39" s="31" t="s">
        <v>48</v>
      </c>
      <c r="C39" s="31" t="s">
        <v>103</v>
      </c>
      <c r="D39" s="31" t="s">
        <v>48</v>
      </c>
      <c r="E39" s="31" t="s">
        <v>55</v>
      </c>
      <c r="F39" s="31" t="s">
        <v>83</v>
      </c>
      <c r="G39" s="31" t="s">
        <v>91</v>
      </c>
    </row>
    <row r="40" spans="1:7" x14ac:dyDescent="0.25">
      <c r="A40" s="31" t="s">
        <v>32</v>
      </c>
      <c r="B40" s="31" t="s">
        <v>48</v>
      </c>
      <c r="C40" s="31" t="s">
        <v>103</v>
      </c>
      <c r="D40" s="31" t="s">
        <v>48</v>
      </c>
      <c r="E40" s="31" t="s">
        <v>55</v>
      </c>
      <c r="F40" s="31" t="s">
        <v>83</v>
      </c>
      <c r="G40" s="31" t="s">
        <v>92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AF95A-C7B1-4C67-8A08-D304497E838E}">
  <dimension ref="A1:G36"/>
  <sheetViews>
    <sheetView workbookViewId="0">
      <selection activeCell="L31" sqref="L31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28515625" bestFit="1" customWidth="1"/>
    <col min="4" max="4" width="13.85546875" bestFit="1" customWidth="1"/>
    <col min="5" max="5" width="18.28515625" bestFit="1" customWidth="1"/>
    <col min="6" max="6" width="11.5703125" bestFit="1" customWidth="1"/>
    <col min="7" max="7" width="23.85546875" bestFit="1" customWidth="1"/>
  </cols>
  <sheetData>
    <row r="1" spans="1:7" x14ac:dyDescent="0.25">
      <c r="A1" s="1" t="s">
        <v>8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2" spans="1:7" x14ac:dyDescent="0.25">
      <c r="A2" s="31" t="s">
        <v>32</v>
      </c>
      <c r="B2" s="31" t="s">
        <v>48</v>
      </c>
      <c r="C2" s="31" t="s">
        <v>63</v>
      </c>
      <c r="D2" s="31" t="s">
        <v>48</v>
      </c>
      <c r="E2" s="31" t="s">
        <v>97</v>
      </c>
      <c r="F2" s="31" t="s">
        <v>31</v>
      </c>
      <c r="G2" s="31"/>
    </row>
    <row r="3" spans="1:7" x14ac:dyDescent="0.25">
      <c r="A3" s="31" t="s">
        <v>32</v>
      </c>
      <c r="B3" s="31" t="s">
        <v>48</v>
      </c>
      <c r="C3" s="31" t="s">
        <v>63</v>
      </c>
      <c r="D3" s="31" t="s">
        <v>48</v>
      </c>
      <c r="E3" s="31" t="s">
        <v>97</v>
      </c>
      <c r="F3" s="31" t="s">
        <v>39</v>
      </c>
      <c r="G3" s="31"/>
    </row>
    <row r="4" spans="1:7" x14ac:dyDescent="0.25">
      <c r="A4" s="31" t="s">
        <v>32</v>
      </c>
      <c r="B4" s="31" t="s">
        <v>48</v>
      </c>
      <c r="C4" s="31" t="s">
        <v>96</v>
      </c>
      <c r="D4" s="31" t="s">
        <v>48</v>
      </c>
      <c r="E4" s="31" t="s">
        <v>97</v>
      </c>
      <c r="F4" s="31" t="s">
        <v>31</v>
      </c>
      <c r="G4" s="31"/>
    </row>
    <row r="5" spans="1:7" x14ac:dyDescent="0.25">
      <c r="A5" s="31" t="s">
        <v>32</v>
      </c>
      <c r="B5" s="31" t="s">
        <v>48</v>
      </c>
      <c r="C5" s="31" t="s">
        <v>96</v>
      </c>
      <c r="D5" s="31" t="s">
        <v>48</v>
      </c>
      <c r="E5" s="31" t="s">
        <v>97</v>
      </c>
      <c r="F5" s="31" t="s">
        <v>39</v>
      </c>
      <c r="G5" s="31"/>
    </row>
    <row r="6" spans="1:7" x14ac:dyDescent="0.25">
      <c r="A6" s="31" t="s">
        <v>32</v>
      </c>
      <c r="B6" s="31" t="s">
        <v>48</v>
      </c>
      <c r="C6" s="31" t="s">
        <v>101</v>
      </c>
      <c r="D6" s="31" t="s">
        <v>48</v>
      </c>
      <c r="E6" s="31" t="s">
        <v>102</v>
      </c>
      <c r="F6" s="31" t="s">
        <v>31</v>
      </c>
      <c r="G6" s="31"/>
    </row>
    <row r="7" spans="1:7" x14ac:dyDescent="0.25">
      <c r="A7" s="31" t="s">
        <v>32</v>
      </c>
      <c r="B7" s="31" t="s">
        <v>48</v>
      </c>
      <c r="C7" s="31" t="s">
        <v>101</v>
      </c>
      <c r="D7" s="31" t="s">
        <v>48</v>
      </c>
      <c r="E7" s="31" t="s">
        <v>102</v>
      </c>
      <c r="F7" s="31" t="s">
        <v>39</v>
      </c>
      <c r="G7" s="31"/>
    </row>
    <row r="9" spans="1:7" x14ac:dyDescent="0.25">
      <c r="A9" s="31" t="s">
        <v>32</v>
      </c>
      <c r="B9" s="31" t="s">
        <v>48</v>
      </c>
      <c r="C9" s="31" t="s">
        <v>97</v>
      </c>
      <c r="D9" s="31" t="s">
        <v>48</v>
      </c>
      <c r="E9" s="31" t="s">
        <v>98</v>
      </c>
      <c r="F9" s="31" t="s">
        <v>31</v>
      </c>
      <c r="G9" s="31" t="s">
        <v>93</v>
      </c>
    </row>
    <row r="10" spans="1:7" x14ac:dyDescent="0.25">
      <c r="A10" s="31" t="s">
        <v>32</v>
      </c>
      <c r="B10" s="31" t="s">
        <v>48</v>
      </c>
      <c r="C10" s="31" t="s">
        <v>97</v>
      </c>
      <c r="D10" s="31" t="s">
        <v>48</v>
      </c>
      <c r="E10" s="31" t="s">
        <v>98</v>
      </c>
      <c r="F10" s="31" t="s">
        <v>39</v>
      </c>
      <c r="G10" s="31" t="s">
        <v>78</v>
      </c>
    </row>
    <row r="11" spans="1:7" x14ac:dyDescent="0.25">
      <c r="A11" s="31" t="s">
        <v>32</v>
      </c>
      <c r="B11" s="31" t="s">
        <v>48</v>
      </c>
      <c r="C11" s="31" t="s">
        <v>97</v>
      </c>
      <c r="D11" s="31" t="s">
        <v>48</v>
      </c>
      <c r="E11" s="31" t="s">
        <v>98</v>
      </c>
      <c r="F11" s="31" t="s">
        <v>83</v>
      </c>
      <c r="G11" s="31" t="s">
        <v>91</v>
      </c>
    </row>
    <row r="12" spans="1:7" x14ac:dyDescent="0.25">
      <c r="A12" s="31" t="s">
        <v>32</v>
      </c>
      <c r="B12" s="31" t="s">
        <v>48</v>
      </c>
      <c r="C12" s="31" t="s">
        <v>97</v>
      </c>
      <c r="D12" s="31" t="s">
        <v>48</v>
      </c>
      <c r="E12" s="31" t="s">
        <v>98</v>
      </c>
      <c r="F12" s="31" t="s">
        <v>83</v>
      </c>
      <c r="G12" s="31" t="s">
        <v>92</v>
      </c>
    </row>
    <row r="13" spans="1:7" x14ac:dyDescent="0.25">
      <c r="A13" s="31" t="s">
        <v>32</v>
      </c>
      <c r="B13" s="31" t="s">
        <v>48</v>
      </c>
      <c r="C13" s="31" t="s">
        <v>102</v>
      </c>
      <c r="D13" s="31" t="s">
        <v>48</v>
      </c>
      <c r="E13" s="31" t="s">
        <v>103</v>
      </c>
      <c r="F13" s="31" t="s">
        <v>31</v>
      </c>
      <c r="G13" s="31" t="s">
        <v>93</v>
      </c>
    </row>
    <row r="14" spans="1:7" x14ac:dyDescent="0.25">
      <c r="A14" s="31" t="s">
        <v>32</v>
      </c>
      <c r="B14" s="31" t="s">
        <v>48</v>
      </c>
      <c r="C14" s="31" t="s">
        <v>102</v>
      </c>
      <c r="D14" s="31" t="s">
        <v>48</v>
      </c>
      <c r="E14" s="31" t="s">
        <v>103</v>
      </c>
      <c r="F14" s="31" t="s">
        <v>39</v>
      </c>
      <c r="G14" s="31" t="s">
        <v>78</v>
      </c>
    </row>
    <row r="15" spans="1:7" x14ac:dyDescent="0.25">
      <c r="A15" s="31" t="s">
        <v>32</v>
      </c>
      <c r="B15" s="31" t="s">
        <v>48</v>
      </c>
      <c r="C15" s="31" t="s">
        <v>102</v>
      </c>
      <c r="D15" s="31" t="s">
        <v>48</v>
      </c>
      <c r="E15" s="31" t="s">
        <v>103</v>
      </c>
      <c r="F15" s="31" t="s">
        <v>83</v>
      </c>
      <c r="G15" s="31" t="s">
        <v>91</v>
      </c>
    </row>
    <row r="16" spans="1:7" x14ac:dyDescent="0.25">
      <c r="A16" s="31" t="s">
        <v>32</v>
      </c>
      <c r="B16" s="31" t="s">
        <v>48</v>
      </c>
      <c r="C16" s="31" t="s">
        <v>102</v>
      </c>
      <c r="D16" s="31" t="s">
        <v>48</v>
      </c>
      <c r="E16" s="31" t="s">
        <v>103</v>
      </c>
      <c r="F16" s="31" t="s">
        <v>83</v>
      </c>
      <c r="G16" s="31" t="s">
        <v>92</v>
      </c>
    </row>
    <row r="18" spans="1:7" x14ac:dyDescent="0.25">
      <c r="A18" s="31" t="s">
        <v>32</v>
      </c>
      <c r="B18" s="31" t="s">
        <v>48</v>
      </c>
      <c r="C18" s="31" t="s">
        <v>98</v>
      </c>
      <c r="D18" s="31" t="s">
        <v>48</v>
      </c>
      <c r="E18" s="31" t="s">
        <v>90</v>
      </c>
      <c r="F18" s="31" t="s">
        <v>39</v>
      </c>
      <c r="G18" s="31" t="s">
        <v>78</v>
      </c>
    </row>
    <row r="19" spans="1:7" x14ac:dyDescent="0.25">
      <c r="A19" s="31" t="s">
        <v>32</v>
      </c>
      <c r="B19" s="31" t="s">
        <v>48</v>
      </c>
      <c r="C19" s="31" t="s">
        <v>103</v>
      </c>
      <c r="D19" s="31" t="s">
        <v>48</v>
      </c>
      <c r="E19" s="31" t="s">
        <v>90</v>
      </c>
      <c r="F19" s="31" t="s">
        <v>39</v>
      </c>
      <c r="G19" s="31" t="s">
        <v>78</v>
      </c>
    </row>
    <row r="21" spans="1:7" x14ac:dyDescent="0.25">
      <c r="A21" s="31" t="s">
        <v>32</v>
      </c>
      <c r="B21" s="31" t="s">
        <v>48</v>
      </c>
      <c r="C21" s="31" t="s">
        <v>98</v>
      </c>
      <c r="D21" s="31" t="s">
        <v>48</v>
      </c>
      <c r="E21" s="31" t="s">
        <v>55</v>
      </c>
      <c r="F21" s="31" t="s">
        <v>31</v>
      </c>
      <c r="G21" s="31" t="s">
        <v>93</v>
      </c>
    </row>
    <row r="22" spans="1:7" x14ac:dyDescent="0.25">
      <c r="A22" s="31" t="s">
        <v>32</v>
      </c>
      <c r="B22" s="31" t="s">
        <v>48</v>
      </c>
      <c r="C22" s="31" t="s">
        <v>98</v>
      </c>
      <c r="D22" s="31" t="s">
        <v>48</v>
      </c>
      <c r="E22" s="31" t="s">
        <v>55</v>
      </c>
      <c r="F22" s="31" t="s">
        <v>83</v>
      </c>
      <c r="G22" s="31" t="s">
        <v>85</v>
      </c>
    </row>
    <row r="23" spans="1:7" x14ac:dyDescent="0.25">
      <c r="A23" s="31" t="s">
        <v>32</v>
      </c>
      <c r="B23" s="31" t="s">
        <v>48</v>
      </c>
      <c r="C23" s="31" t="s">
        <v>98</v>
      </c>
      <c r="D23" s="31" t="s">
        <v>48</v>
      </c>
      <c r="E23" s="31" t="s">
        <v>55</v>
      </c>
      <c r="F23" s="31" t="s">
        <v>83</v>
      </c>
      <c r="G23" s="31" t="s">
        <v>91</v>
      </c>
    </row>
    <row r="24" spans="1:7" x14ac:dyDescent="0.25">
      <c r="A24" s="31" t="s">
        <v>32</v>
      </c>
      <c r="B24" s="31" t="s">
        <v>48</v>
      </c>
      <c r="C24" s="31" t="s">
        <v>98</v>
      </c>
      <c r="D24" s="31" t="s">
        <v>48</v>
      </c>
      <c r="E24" s="31" t="s">
        <v>55</v>
      </c>
      <c r="F24" s="31" t="s">
        <v>83</v>
      </c>
      <c r="G24" s="31" t="s">
        <v>92</v>
      </c>
    </row>
    <row r="25" spans="1:7" x14ac:dyDescent="0.25">
      <c r="A25" s="31" t="s">
        <v>32</v>
      </c>
      <c r="B25" s="31" t="s">
        <v>48</v>
      </c>
      <c r="C25" s="31" t="s">
        <v>103</v>
      </c>
      <c r="D25" s="31" t="s">
        <v>48</v>
      </c>
      <c r="E25" s="31" t="s">
        <v>55</v>
      </c>
      <c r="F25" s="31" t="s">
        <v>31</v>
      </c>
      <c r="G25" s="31" t="s">
        <v>93</v>
      </c>
    </row>
    <row r="26" spans="1:7" x14ac:dyDescent="0.25">
      <c r="A26" s="31" t="s">
        <v>32</v>
      </c>
      <c r="B26" s="31" t="s">
        <v>48</v>
      </c>
      <c r="C26" s="31" t="s">
        <v>103</v>
      </c>
      <c r="D26" s="31" t="s">
        <v>48</v>
      </c>
      <c r="E26" s="31" t="s">
        <v>55</v>
      </c>
      <c r="F26" s="31" t="s">
        <v>83</v>
      </c>
      <c r="G26" s="31" t="s">
        <v>85</v>
      </c>
    </row>
    <row r="27" spans="1:7" x14ac:dyDescent="0.25">
      <c r="A27" s="31" t="s">
        <v>32</v>
      </c>
      <c r="B27" s="31" t="s">
        <v>48</v>
      </c>
      <c r="C27" s="31" t="s">
        <v>103</v>
      </c>
      <c r="D27" s="31" t="s">
        <v>48</v>
      </c>
      <c r="E27" s="31" t="s">
        <v>55</v>
      </c>
      <c r="F27" s="31" t="s">
        <v>83</v>
      </c>
      <c r="G27" s="31" t="s">
        <v>91</v>
      </c>
    </row>
    <row r="28" spans="1:7" x14ac:dyDescent="0.25">
      <c r="A28" s="31" t="s">
        <v>32</v>
      </c>
      <c r="B28" s="31" t="s">
        <v>48</v>
      </c>
      <c r="C28" s="31" t="s">
        <v>103</v>
      </c>
      <c r="D28" s="31" t="s">
        <v>48</v>
      </c>
      <c r="E28" s="31" t="s">
        <v>55</v>
      </c>
      <c r="F28" s="31" t="s">
        <v>83</v>
      </c>
      <c r="G28" s="31" t="s">
        <v>92</v>
      </c>
    </row>
    <row r="30" spans="1:7" x14ac:dyDescent="0.25">
      <c r="A30" t="s">
        <v>32</v>
      </c>
      <c r="B30" t="s">
        <v>48</v>
      </c>
      <c r="C30" t="s">
        <v>55</v>
      </c>
      <c r="D30" t="s">
        <v>48</v>
      </c>
      <c r="E30" t="s">
        <v>127</v>
      </c>
      <c r="F30" t="s">
        <v>31</v>
      </c>
    </row>
    <row r="31" spans="1:7" x14ac:dyDescent="0.25">
      <c r="A31" t="s">
        <v>32</v>
      </c>
      <c r="B31" t="s">
        <v>48</v>
      </c>
      <c r="C31" t="s">
        <v>90</v>
      </c>
      <c r="D31" t="s">
        <v>48</v>
      </c>
      <c r="E31" t="s">
        <v>128</v>
      </c>
      <c r="F31" t="s">
        <v>39</v>
      </c>
    </row>
    <row r="33" spans="1:6" x14ac:dyDescent="0.25">
      <c r="A33" t="s">
        <v>32</v>
      </c>
      <c r="B33" t="s">
        <v>48</v>
      </c>
      <c r="C33" t="s">
        <v>97</v>
      </c>
      <c r="D33" t="s">
        <v>48</v>
      </c>
      <c r="E33" t="s">
        <v>129</v>
      </c>
      <c r="F33" t="s">
        <v>83</v>
      </c>
    </row>
    <row r="34" spans="1:6" x14ac:dyDescent="0.25">
      <c r="A34" t="s">
        <v>32</v>
      </c>
      <c r="B34" t="s">
        <v>48</v>
      </c>
      <c r="C34" t="s">
        <v>102</v>
      </c>
      <c r="D34" t="s">
        <v>48</v>
      </c>
      <c r="E34" t="s">
        <v>129</v>
      </c>
      <c r="F34" t="s">
        <v>83</v>
      </c>
    </row>
    <row r="35" spans="1:6" x14ac:dyDescent="0.25">
      <c r="A35" t="s">
        <v>32</v>
      </c>
      <c r="B35" t="s">
        <v>48</v>
      </c>
      <c r="C35" t="s">
        <v>98</v>
      </c>
      <c r="D35" t="s">
        <v>48</v>
      </c>
      <c r="E35" t="s">
        <v>129</v>
      </c>
      <c r="F35" t="s">
        <v>83</v>
      </c>
    </row>
    <row r="36" spans="1:6" x14ac:dyDescent="0.25">
      <c r="A36" t="s">
        <v>32</v>
      </c>
      <c r="B36" t="s">
        <v>48</v>
      </c>
      <c r="C36" t="s">
        <v>103</v>
      </c>
      <c r="D36" t="s">
        <v>48</v>
      </c>
      <c r="E36" t="s">
        <v>129</v>
      </c>
      <c r="F36" t="s">
        <v>83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11"/>
  <sheetViews>
    <sheetView workbookViewId="0">
      <selection activeCell="D29" sqref="D29"/>
    </sheetView>
  </sheetViews>
  <sheetFormatPr defaultRowHeight="15" x14ac:dyDescent="0.25"/>
  <cols>
    <col min="1" max="1" width="19.28515625" bestFit="1" customWidth="1"/>
    <col min="2" max="2" width="15.42578125" bestFit="1" customWidth="1"/>
    <col min="3" max="3" width="11.140625" bestFit="1" customWidth="1"/>
    <col min="4" max="4" width="86" customWidth="1"/>
  </cols>
  <sheetData>
    <row r="1" spans="1:3" x14ac:dyDescent="0.25">
      <c r="A1" t="s">
        <v>8</v>
      </c>
      <c r="B1" t="s">
        <v>34</v>
      </c>
      <c r="C1" t="s">
        <v>35</v>
      </c>
    </row>
    <row r="2" spans="1:3" x14ac:dyDescent="0.25">
      <c r="A2" t="s">
        <v>36</v>
      </c>
      <c r="B2" t="str">
        <f t="shared" ref="B2:B9" si="0">"FFDump"&amp;C2</f>
        <v>FFDump50</v>
      </c>
      <c r="C2">
        <v>50</v>
      </c>
    </row>
    <row r="3" spans="1:3" x14ac:dyDescent="0.25">
      <c r="A3" t="s">
        <v>36</v>
      </c>
      <c r="B3" t="str">
        <f t="shared" si="0"/>
        <v>FFDump500</v>
      </c>
      <c r="C3">
        <v>500</v>
      </c>
    </row>
    <row r="4" spans="1:3" x14ac:dyDescent="0.25">
      <c r="A4" t="s">
        <v>36</v>
      </c>
      <c r="B4" t="str">
        <f t="shared" si="0"/>
        <v>FFDump600</v>
      </c>
      <c r="C4">
        <v>600</v>
      </c>
    </row>
    <row r="5" spans="1:3" x14ac:dyDescent="0.25">
      <c r="A5" t="s">
        <v>36</v>
      </c>
      <c r="B5" t="str">
        <f t="shared" si="0"/>
        <v>FFDump601</v>
      </c>
      <c r="C5">
        <v>601</v>
      </c>
    </row>
    <row r="6" spans="1:3" x14ac:dyDescent="0.25">
      <c r="A6" t="s">
        <v>36</v>
      </c>
      <c r="B6" t="str">
        <f t="shared" ref="B6" si="1">"FFDump"&amp;C6</f>
        <v>FFDump610</v>
      </c>
      <c r="C6">
        <v>610</v>
      </c>
    </row>
    <row r="7" spans="1:3" x14ac:dyDescent="0.25">
      <c r="A7" t="s">
        <v>36</v>
      </c>
      <c r="B7" t="str">
        <f t="shared" si="0"/>
        <v>FFDump1738000</v>
      </c>
      <c r="C7">
        <v>1738000</v>
      </c>
    </row>
    <row r="8" spans="1:3" x14ac:dyDescent="0.25">
      <c r="A8" t="s">
        <v>36</v>
      </c>
      <c r="B8" t="str">
        <f t="shared" si="0"/>
        <v>FFDump1728050</v>
      </c>
      <c r="C8">
        <v>1728050</v>
      </c>
    </row>
    <row r="9" spans="1:3" x14ac:dyDescent="0.25">
      <c r="A9" t="s">
        <v>36</v>
      </c>
      <c r="B9" t="str">
        <f t="shared" si="0"/>
        <v>FFDump180050</v>
      </c>
      <c r="C9">
        <v>180050</v>
      </c>
    </row>
    <row r="10" spans="1:3" x14ac:dyDescent="0.25">
      <c r="A10" t="s">
        <v>36</v>
      </c>
      <c r="B10" t="str">
        <f t="shared" ref="B10" si="2">"FFDump"&amp;C10</f>
        <v>FFDump1368000</v>
      </c>
      <c r="C10">
        <v>1368000</v>
      </c>
    </row>
    <row r="11" spans="1:3" x14ac:dyDescent="0.25">
      <c r="A11" t="s">
        <v>36</v>
      </c>
      <c r="B11" t="str">
        <f t="shared" ref="B11" si="3">"FFDump"&amp;C11</f>
        <v>FFDump6010</v>
      </c>
      <c r="C11">
        <v>6010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8"/>
  <sheetViews>
    <sheetView tabSelected="1" workbookViewId="0">
      <selection activeCell="E15" sqref="E15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16</v>
      </c>
      <c r="B1" s="1" t="s">
        <v>17</v>
      </c>
    </row>
    <row r="2" spans="1:2" x14ac:dyDescent="0.25">
      <c r="A2" t="s">
        <v>18</v>
      </c>
      <c r="B2" t="s">
        <v>18</v>
      </c>
    </row>
    <row r="3" spans="1:2" x14ac:dyDescent="0.25">
      <c r="A3" t="s">
        <v>121</v>
      </c>
      <c r="B3" t="s">
        <v>121</v>
      </c>
    </row>
    <row r="4" spans="1:2" x14ac:dyDescent="0.25">
      <c r="A4" t="s">
        <v>33</v>
      </c>
      <c r="B4" t="s">
        <v>33</v>
      </c>
    </row>
    <row r="5" spans="1:2" x14ac:dyDescent="0.25">
      <c r="A5" t="s">
        <v>15</v>
      </c>
      <c r="B5" t="s">
        <v>15</v>
      </c>
    </row>
    <row r="6" spans="1:2" x14ac:dyDescent="0.25">
      <c r="A6" t="s">
        <v>130</v>
      </c>
      <c r="B6" t="s">
        <v>130</v>
      </c>
    </row>
    <row r="7" spans="1:2" x14ac:dyDescent="0.25">
      <c r="A7" t="s">
        <v>122</v>
      </c>
      <c r="B7" t="s">
        <v>122</v>
      </c>
    </row>
    <row r="8" spans="1:2" x14ac:dyDescent="0.25">
      <c r="A8" t="s">
        <v>24</v>
      </c>
      <c r="B8" t="s">
        <v>24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A9" sqref="A9:B9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16</v>
      </c>
      <c r="B1" s="1" t="s">
        <v>17</v>
      </c>
    </row>
    <row r="2" spans="1:2" x14ac:dyDescent="0.25">
      <c r="A2" t="s">
        <v>18</v>
      </c>
      <c r="B2" t="s">
        <v>18</v>
      </c>
    </row>
    <row r="3" spans="1:2" x14ac:dyDescent="0.25">
      <c r="A3" t="s">
        <v>19</v>
      </c>
      <c r="B3" t="s">
        <v>19</v>
      </c>
    </row>
    <row r="4" spans="1:2" x14ac:dyDescent="0.25">
      <c r="A4" t="s">
        <v>41</v>
      </c>
      <c r="B4" t="s">
        <v>41</v>
      </c>
    </row>
    <row r="5" spans="1:2" x14ac:dyDescent="0.25">
      <c r="A5" t="s">
        <v>33</v>
      </c>
      <c r="B5" t="s">
        <v>33</v>
      </c>
    </row>
    <row r="6" spans="1:2" x14ac:dyDescent="0.25">
      <c r="A6" t="s">
        <v>20</v>
      </c>
      <c r="B6" t="s">
        <v>20</v>
      </c>
    </row>
    <row r="7" spans="1:2" x14ac:dyDescent="0.25">
      <c r="A7" t="s">
        <v>21</v>
      </c>
      <c r="B7" t="s">
        <v>21</v>
      </c>
    </row>
    <row r="8" spans="1:2" x14ac:dyDescent="0.25">
      <c r="A8" t="s">
        <v>14</v>
      </c>
      <c r="B8" t="s">
        <v>14</v>
      </c>
    </row>
    <row r="9" spans="1:2" x14ac:dyDescent="0.25">
      <c r="A9" t="s">
        <v>15</v>
      </c>
      <c r="B9" t="s">
        <v>15</v>
      </c>
    </row>
    <row r="10" spans="1:2" x14ac:dyDescent="0.25">
      <c r="A10" t="s">
        <v>46</v>
      </c>
      <c r="B10" t="s">
        <v>46</v>
      </c>
    </row>
    <row r="11" spans="1:2" x14ac:dyDescent="0.25">
      <c r="A11" t="s">
        <v>47</v>
      </c>
      <c r="B11" t="s">
        <v>47</v>
      </c>
    </row>
    <row r="12" spans="1:2" x14ac:dyDescent="0.25">
      <c r="A12" t="s">
        <v>22</v>
      </c>
      <c r="B12" t="s">
        <v>22</v>
      </c>
    </row>
    <row r="13" spans="1:2" x14ac:dyDescent="0.25">
      <c r="A13" t="s">
        <v>45</v>
      </c>
      <c r="B13" t="s">
        <v>45</v>
      </c>
    </row>
    <row r="14" spans="1:2" x14ac:dyDescent="0.25">
      <c r="A14" t="s">
        <v>24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Global Simulation Parameters</vt:lpstr>
      <vt:lpstr>Facilities</vt:lpstr>
      <vt:lpstr>ContinuousWells</vt:lpstr>
      <vt:lpstr>CyclingWells</vt:lpstr>
      <vt:lpstr>Common Headers</vt:lpstr>
      <vt:lpstr>Separators</vt:lpstr>
      <vt:lpstr>Sheet1</vt:lpstr>
      <vt:lpstr>Tank Battery</vt:lpstr>
      <vt:lpstr>Probe</vt:lpstr>
      <vt:lpstr>FFLinks</vt:lpstr>
      <vt:lpstr>FFLinks2</vt:lpstr>
      <vt:lpstr>FFLinks3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2023-10-28T18:40:17Z</dcterms:modified>
</cp:coreProperties>
</file>