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03A68EAD-018D-4F20-AED5-4C9A0756328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Global Simulation Parameters" sheetId="1" r:id="rId1"/>
    <sheet name="Facilities" sheetId="2" r:id="rId2"/>
    <sheet name="MiscCompressorStation" sheetId="3" r:id="rId3"/>
    <sheet name="Debug" sheetId="4" r:id="rId4"/>
    <sheet name="Master Equipment" sheetId="5" r:id="rId5"/>
    <sheet name="MAl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4" l="1"/>
  <c r="B4" i="4"/>
  <c r="B3" i="4"/>
  <c r="B2" i="4"/>
  <c r="N2" i="3"/>
  <c r="I2" i="3"/>
</calcChain>
</file>

<file path=xl/sharedStrings.xml><?xml version="1.0" encoding="utf-8"?>
<sst xmlns="http://schemas.openxmlformats.org/spreadsheetml/2006/main" count="86" uniqueCount="59">
  <si>
    <t>Simulation Start Date</t>
  </si>
  <si>
    <t>1/1/2021</t>
  </si>
  <si>
    <t>Simulation Duration [Days]</t>
  </si>
  <si>
    <t>Number of Monte Carlo Iterations</t>
  </si>
  <si>
    <t>Output Directory Template</t>
  </si>
  <si>
    <t>input/Studies/MEET2/TestCompositionsFF.csv</t>
  </si>
  <si>
    <t>Activity / Emission Factor Name</t>
  </si>
  <si>
    <t>Facility ID</t>
  </si>
  <si>
    <t>Latitude</t>
  </si>
  <si>
    <t>Longitude</t>
  </si>
  <si>
    <t>Model ID</t>
  </si>
  <si>
    <t>facility_test</t>
  </si>
  <si>
    <t>Facility.json</t>
  </si>
  <si>
    <t>Unit ID</t>
  </si>
  <si>
    <t>Component Leak Survey Frequency [days]</t>
  </si>
  <si>
    <t>Component Count</t>
  </si>
  <si>
    <t>Component pLeak</t>
  </si>
  <si>
    <t>Actuator Type [Gas, Electric, Air]</t>
  </si>
  <si>
    <t>Factor Tag</t>
  </si>
  <si>
    <t>Station_1</t>
  </si>
  <si>
    <t>Air</t>
  </si>
  <si>
    <t>MiscCompressorStation.json</t>
  </si>
  <si>
    <t>Facility-ProducedGas</t>
  </si>
  <si>
    <t>DumpID</t>
  </si>
  <si>
    <t>Dump Time</t>
  </si>
  <si>
    <t>FFDumpService.json</t>
  </si>
  <si>
    <t>Readable Name</t>
  </si>
  <si>
    <t>Tab</t>
  </si>
  <si>
    <t>Facilities</t>
  </si>
  <si>
    <t>Yard Piping</t>
  </si>
  <si>
    <t>Debug</t>
  </si>
  <si>
    <t>Wells</t>
  </si>
  <si>
    <t>Common Headers</t>
  </si>
  <si>
    <t>Separators</t>
  </si>
  <si>
    <t>Dehydrators</t>
  </si>
  <si>
    <t>Compressors</t>
  </si>
  <si>
    <t>Tank Battery</t>
  </si>
  <si>
    <t>VRUs</t>
  </si>
  <si>
    <t>Flares</t>
  </si>
  <si>
    <t>Links</t>
  </si>
  <si>
    <t>FFLinks</t>
  </si>
  <si>
    <t>MiscCompressorStation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</si>
  <si>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</si>
  <si>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</si>
  <si>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</si>
  <si>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</si>
  <si>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</si>
  <si>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</si>
  <si>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</si>
  <si>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</si>
  <si>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</si>
  <si>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</si>
  <si>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</si>
  <si>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</si>
  <si>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Leak GC Name</t>
  </si>
  <si>
    <t>Leak Gas Composition</t>
  </si>
  <si>
    <t>wellpad_misc</t>
  </si>
  <si>
    <t>Facility Type</t>
  </si>
  <si>
    <t>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</si>
</sst>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92D050"/>
        <bgColor rgb="FFC0C0C0"/>
      </patternFill>
    </fill>
    <fill>
      <patternFill patternType="solid">
        <fgColor rgb="FFC6D9F1"/>
        <bgColor rgb="FFB7DEE8"/>
      </patternFill>
    </fill>
    <fill>
      <patternFill patternType="solid">
        <fgColor rgb="FFD7E4BD"/>
        <bgColor rgb="FFC6D9F1"/>
      </patternFill>
    </fill>
    <fill>
      <patternFill patternType="solid">
        <fgColor rgb="FFB7DEE8"/>
        <bgColor rgb="FFC6D9F1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3" fillId="7" borderId="0" applyNumberFormat="0" applyBorder="0" applyAlignment="0" applyProtection="0"/>
    <xf numFmtId="0" fontId="2" fillId="2" borderId="0" applyBorder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6" fillId="11" borderId="1" xfId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</cellXfs>
  <cellStyles count="3">
    <cellStyle name="Excel Built-in Neutral" xfId="2" xr:uid="{00000000-0005-0000-0000-000006000000}"/>
    <cellStyle name="Neutral" xfId="1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EB9C"/>
      <rgbColor rgb="FFB7DEE8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zoomScaleNormal="100" workbookViewId="0">
      <selection activeCell="B21" sqref="B21"/>
    </sheetView>
  </sheetViews>
  <sheetFormatPr defaultColWidth="8.7109375" defaultRowHeight="15" x14ac:dyDescent="0.25"/>
  <cols>
    <col min="1" max="1" width="29.28515625" customWidth="1"/>
    <col min="2" max="2" width="58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2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</row>
    <row r="5" spans="1:2" x14ac:dyDescent="0.25">
      <c r="A5" t="s">
        <v>6</v>
      </c>
    </row>
    <row r="6" spans="1:2" x14ac:dyDescent="0.25">
      <c r="A6" t="s">
        <v>57</v>
      </c>
      <c r="B6" t="s">
        <v>58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zoomScaleNormal="100" workbookViewId="0">
      <selection activeCell="B28" sqref="B28"/>
    </sheetView>
  </sheetViews>
  <sheetFormatPr defaultColWidth="8.7109375" defaultRowHeight="15" x14ac:dyDescent="0.25"/>
  <cols>
    <col min="1" max="1" width="11.42578125" customWidth="1"/>
    <col min="2" max="2" width="9.5703125" customWidth="1"/>
    <col min="3" max="3" width="9.85546875" customWidth="1"/>
    <col min="4" max="4" width="59.42578125" customWidth="1"/>
    <col min="5" max="5" width="11.5703125" customWidth="1"/>
  </cols>
  <sheetData>
    <row r="1" spans="1:5" s="2" customFormat="1" x14ac:dyDescent="0.25">
      <c r="A1" s="1" t="s">
        <v>7</v>
      </c>
      <c r="B1" s="1" t="s">
        <v>8</v>
      </c>
      <c r="C1" s="1" t="s">
        <v>9</v>
      </c>
      <c r="D1" s="1" t="s">
        <v>55</v>
      </c>
      <c r="E1" s="1" t="s">
        <v>10</v>
      </c>
    </row>
    <row r="2" spans="1:5" x14ac:dyDescent="0.25">
      <c r="A2" t="s">
        <v>11</v>
      </c>
      <c r="B2" s="3">
        <v>0</v>
      </c>
      <c r="C2" s="3">
        <v>0</v>
      </c>
      <c r="D2" t="s">
        <v>5</v>
      </c>
      <c r="E2" t="s">
        <v>12</v>
      </c>
    </row>
    <row r="3" spans="1:5" x14ac:dyDescent="0.25">
      <c r="B3" s="3"/>
      <c r="C3" s="3"/>
    </row>
    <row r="4" spans="1:5" x14ac:dyDescent="0.25">
      <c r="B4" s="3"/>
      <c r="C4" s="3"/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topLeftCell="H1" zoomScale="110" zoomScaleNormal="110" workbookViewId="0">
      <selection activeCell="K9" sqref="K9"/>
    </sheetView>
  </sheetViews>
  <sheetFormatPr defaultColWidth="8.7109375" defaultRowHeight="15" x14ac:dyDescent="0.25"/>
  <cols>
    <col min="1" max="1" width="11.42578125" bestFit="1" customWidth="1"/>
    <col min="2" max="2" width="22.7109375" customWidth="1"/>
    <col min="3" max="3" width="14.42578125" customWidth="1"/>
    <col min="4" max="6" width="16" style="4" customWidth="1"/>
    <col min="7" max="7" width="26.7109375" bestFit="1" customWidth="1"/>
    <col min="8" max="9" width="32.140625" customWidth="1"/>
    <col min="10" max="10" width="12.85546875" customWidth="1"/>
    <col min="11" max="11" width="12.28515625" customWidth="1"/>
    <col min="12" max="12" width="12.7109375" customWidth="1"/>
    <col min="13" max="13" width="12" customWidth="1"/>
    <col min="14" max="14" width="13.7109375" customWidth="1"/>
    <col min="15" max="15" width="14.5703125" customWidth="1"/>
    <col min="16" max="16" width="14" customWidth="1"/>
    <col min="17" max="18" width="16.28515625" customWidth="1"/>
    <col min="19" max="19" width="15.42578125" customWidth="1"/>
    <col min="20" max="20" width="13.28515625" customWidth="1"/>
  </cols>
  <sheetData>
    <row r="1" spans="1:21" s="5" customFormat="1" ht="75" x14ac:dyDescent="0.25">
      <c r="A1" s="12" t="s">
        <v>7</v>
      </c>
      <c r="B1" s="12" t="s">
        <v>13</v>
      </c>
      <c r="C1" s="13" t="s">
        <v>14</v>
      </c>
      <c r="D1" s="13" t="s">
        <v>15</v>
      </c>
      <c r="E1" s="13" t="s">
        <v>16</v>
      </c>
      <c r="F1" s="12" t="s">
        <v>17</v>
      </c>
      <c r="G1" s="12" t="s">
        <v>10</v>
      </c>
      <c r="H1" s="12" t="s">
        <v>54</v>
      </c>
      <c r="I1" s="12" t="s">
        <v>42</v>
      </c>
      <c r="J1" s="14" t="s">
        <v>43</v>
      </c>
      <c r="K1" s="15" t="s">
        <v>44</v>
      </c>
      <c r="L1" s="15" t="s">
        <v>45</v>
      </c>
      <c r="M1" s="16" t="s">
        <v>46</v>
      </c>
      <c r="N1" s="12" t="s">
        <v>47</v>
      </c>
      <c r="O1" s="17" t="s">
        <v>48</v>
      </c>
      <c r="P1" s="17" t="s">
        <v>49</v>
      </c>
      <c r="Q1" s="18" t="s">
        <v>50</v>
      </c>
      <c r="R1" s="19" t="s">
        <v>51</v>
      </c>
      <c r="S1" s="19" t="s">
        <v>52</v>
      </c>
      <c r="T1" s="20" t="s">
        <v>53</v>
      </c>
      <c r="U1" s="12" t="s">
        <v>18</v>
      </c>
    </row>
    <row r="2" spans="1:21" x14ac:dyDescent="0.25">
      <c r="A2" t="s">
        <v>11</v>
      </c>
      <c r="B2" t="s">
        <v>19</v>
      </c>
      <c r="C2" s="6">
        <v>365</v>
      </c>
      <c r="D2" s="7">
        <v>500</v>
      </c>
      <c r="E2" s="7">
        <v>0.01</v>
      </c>
      <c r="F2" s="4" t="s">
        <v>20</v>
      </c>
      <c r="G2" t="s">
        <v>21</v>
      </c>
      <c r="H2" t="s">
        <v>22</v>
      </c>
      <c r="I2" t="b">
        <f>FALSE()</f>
        <v>0</v>
      </c>
      <c r="J2" s="8">
        <v>0</v>
      </c>
      <c r="K2" s="8">
        <v>0</v>
      </c>
      <c r="L2" s="8">
        <v>0</v>
      </c>
      <c r="M2" s="8">
        <v>0.1</v>
      </c>
      <c r="N2" t="b">
        <f>FALSE()</f>
        <v>0</v>
      </c>
      <c r="O2" s="9">
        <v>0</v>
      </c>
      <c r="P2" s="9">
        <v>0</v>
      </c>
      <c r="Q2" s="9">
        <v>0.1</v>
      </c>
      <c r="R2" s="10">
        <v>0</v>
      </c>
      <c r="S2" s="10">
        <v>0</v>
      </c>
      <c r="T2" s="10">
        <v>0.1</v>
      </c>
      <c r="U2" t="s">
        <v>56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zoomScaleNormal="100" workbookViewId="0">
      <selection activeCell="D12" sqref="D12"/>
    </sheetView>
  </sheetViews>
  <sheetFormatPr defaultColWidth="8.7109375" defaultRowHeight="15" x14ac:dyDescent="0.25"/>
  <cols>
    <col min="1" max="1" width="19.28515625" customWidth="1"/>
    <col min="2" max="2" width="12.28515625" customWidth="1"/>
    <col min="3" max="3" width="11.140625" customWidth="1"/>
    <col min="4" max="4" width="86" customWidth="1"/>
  </cols>
  <sheetData>
    <row r="1" spans="1:3" x14ac:dyDescent="0.25">
      <c r="A1" t="s">
        <v>10</v>
      </c>
      <c r="B1" t="s">
        <v>23</v>
      </c>
      <c r="C1" t="s">
        <v>24</v>
      </c>
    </row>
    <row r="2" spans="1:3" x14ac:dyDescent="0.25">
      <c r="A2" t="s">
        <v>25</v>
      </c>
      <c r="B2" t="str">
        <f>"FFDump"&amp;C2</f>
        <v>FFDump500</v>
      </c>
      <c r="C2">
        <v>500</v>
      </c>
    </row>
    <row r="3" spans="1:3" x14ac:dyDescent="0.25">
      <c r="A3" t="s">
        <v>25</v>
      </c>
      <c r="B3" t="str">
        <f>"FFDump"&amp;C3</f>
        <v>FFDump600</v>
      </c>
      <c r="C3">
        <v>600</v>
      </c>
    </row>
    <row r="4" spans="1:3" x14ac:dyDescent="0.25">
      <c r="A4" t="s">
        <v>25</v>
      </c>
      <c r="B4" t="str">
        <f>"FFDump"&amp;C4</f>
        <v>FFDump601</v>
      </c>
      <c r="C4">
        <v>601</v>
      </c>
    </row>
    <row r="5" spans="1:3" x14ac:dyDescent="0.25">
      <c r="A5" t="s">
        <v>25</v>
      </c>
      <c r="B5" t="str">
        <f>"FFDump"&amp;C5</f>
        <v>FFDump590</v>
      </c>
      <c r="C5">
        <v>590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workbookViewId="0">
      <selection activeCell="L22" sqref="L22"/>
    </sheetView>
  </sheetViews>
  <sheetFormatPr defaultColWidth="8.7109375" defaultRowHeight="15" x14ac:dyDescent="0.25"/>
  <cols>
    <col min="1" max="2" width="22.28515625" bestFit="1" customWidth="1"/>
  </cols>
  <sheetData>
    <row r="1" spans="1:2" x14ac:dyDescent="0.25">
      <c r="A1" s="11" t="s">
        <v>26</v>
      </c>
      <c r="B1" s="11" t="s">
        <v>27</v>
      </c>
    </row>
    <row r="2" spans="1:2" x14ac:dyDescent="0.25">
      <c r="A2" t="s">
        <v>28</v>
      </c>
      <c r="B2" t="s">
        <v>28</v>
      </c>
    </row>
    <row r="3" spans="1:2" x14ac:dyDescent="0.25">
      <c r="A3" t="s">
        <v>41</v>
      </c>
      <c r="B3" t="s">
        <v>41</v>
      </c>
    </row>
    <row r="4" spans="1:2" x14ac:dyDescent="0.25">
      <c r="A4" t="s">
        <v>30</v>
      </c>
      <c r="B4" t="s">
        <v>30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4"/>
  <sheetViews>
    <sheetView zoomScaleNormal="100" workbookViewId="0">
      <selection activeCell="K11" sqref="K11"/>
    </sheetView>
  </sheetViews>
  <sheetFormatPr defaultColWidth="8.7109375" defaultRowHeight="15" x14ac:dyDescent="0.25"/>
  <cols>
    <col min="1" max="2" width="16.85546875" customWidth="1"/>
  </cols>
  <sheetData>
    <row r="1" spans="1:2" x14ac:dyDescent="0.25">
      <c r="A1" s="11" t="s">
        <v>26</v>
      </c>
      <c r="B1" s="11" t="s">
        <v>27</v>
      </c>
    </row>
    <row r="2" spans="1:2" x14ac:dyDescent="0.25">
      <c r="A2" t="s">
        <v>28</v>
      </c>
      <c r="B2" t="s">
        <v>28</v>
      </c>
    </row>
    <row r="3" spans="1:2" x14ac:dyDescent="0.25">
      <c r="A3" t="s">
        <v>31</v>
      </c>
      <c r="B3" t="s">
        <v>31</v>
      </c>
    </row>
    <row r="4" spans="1:2" x14ac:dyDescent="0.25">
      <c r="A4" t="s">
        <v>32</v>
      </c>
      <c r="B4" t="s">
        <v>32</v>
      </c>
    </row>
    <row r="5" spans="1:2" x14ac:dyDescent="0.25">
      <c r="A5" t="s">
        <v>33</v>
      </c>
      <c r="B5" t="s">
        <v>33</v>
      </c>
    </row>
    <row r="6" spans="1:2" x14ac:dyDescent="0.25">
      <c r="A6" t="s">
        <v>34</v>
      </c>
      <c r="B6" t="s">
        <v>34</v>
      </c>
    </row>
    <row r="7" spans="1:2" x14ac:dyDescent="0.25">
      <c r="A7" t="s">
        <v>35</v>
      </c>
      <c r="B7" t="s">
        <v>35</v>
      </c>
    </row>
    <row r="8" spans="1:2" x14ac:dyDescent="0.25">
      <c r="A8" t="s">
        <v>29</v>
      </c>
      <c r="B8" t="s">
        <v>29</v>
      </c>
    </row>
    <row r="9" spans="1:2" x14ac:dyDescent="0.25">
      <c r="A9" t="s">
        <v>36</v>
      </c>
      <c r="B9" t="s">
        <v>36</v>
      </c>
    </row>
    <row r="10" spans="1:2" x14ac:dyDescent="0.25">
      <c r="A10" t="s">
        <v>37</v>
      </c>
      <c r="B10" t="s">
        <v>37</v>
      </c>
    </row>
    <row r="11" spans="1:2" x14ac:dyDescent="0.25">
      <c r="A11" t="s">
        <v>38</v>
      </c>
      <c r="B11" t="s">
        <v>38</v>
      </c>
    </row>
    <row r="12" spans="1:2" x14ac:dyDescent="0.25">
      <c r="A12" t="s">
        <v>39</v>
      </c>
      <c r="B12" t="s">
        <v>39</v>
      </c>
    </row>
    <row r="13" spans="1:2" x14ac:dyDescent="0.25">
      <c r="A13" t="s">
        <v>40</v>
      </c>
      <c r="B13" t="s">
        <v>40</v>
      </c>
    </row>
    <row r="14" spans="1:2" x14ac:dyDescent="0.25">
      <c r="A14" t="s">
        <v>30</v>
      </c>
      <c r="B14" t="s">
        <v>30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Global Simulation Parameters</vt:lpstr>
      <vt:lpstr>Facilities</vt:lpstr>
      <vt:lpstr>MiscCompressorStation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Vora,Prajay</cp:lastModifiedBy>
  <cp:revision>10</cp:revision>
  <dcterms:created xsi:type="dcterms:W3CDTF">2021-02-18T15:05:05Z</dcterms:created>
  <dcterms:modified xsi:type="dcterms:W3CDTF">2023-10-28T20:46:30Z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