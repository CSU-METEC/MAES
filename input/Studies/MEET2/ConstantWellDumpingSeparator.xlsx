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/>
  <mc:AlternateContent xmlns:mc="http://schemas.openxmlformats.org/markup-compatibility/2006">
    <mc:Choice Requires="x15">
      <x15ac:absPath xmlns:x15ac="http://schemas.microsoft.com/office/spreadsheetml/2010/11/ac" url="C:\death\METEC_MEET\MEET_2.0_0007_P\input\Studies\MEET2\"/>
    </mc:Choice>
  </mc:AlternateContent>
  <xr:revisionPtr revIDLastSave="0" documentId="13_ncr:1_{26FE407E-EDFF-449D-BB40-9069C471C8E6}" xr6:coauthVersionLast="47" xr6:coauthVersionMax="47" xr10:uidLastSave="{00000000-0000-0000-0000-000000000000}"/>
  <bookViews>
    <workbookView xWindow="-120" yWindow="-120" windowWidth="29040" windowHeight="15840" tabRatio="937" xr2:uid="{00000000-000D-0000-FFFF-FFFF00000000}"/>
  </bookViews>
  <sheets>
    <sheet name="Global Simulation Parameters" sheetId="1" r:id="rId1"/>
    <sheet name="Facilities" sheetId="2" r:id="rId2"/>
    <sheet name="Source" sheetId="23" r:id="rId3"/>
    <sheet name="ContinuousWells" sheetId="24" r:id="rId4"/>
    <sheet name="Separators" sheetId="5" r:id="rId5"/>
    <sheet name="Tank Battery" sheetId="25" r:id="rId6"/>
    <sheet name="Probes" sheetId="22" r:id="rId7"/>
    <sheet name="FFLinks" sheetId="16" r:id="rId8"/>
    <sheet name="Debug" sheetId="17" r:id="rId9"/>
    <sheet name="Master Equipment" sheetId="14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7" l="1"/>
</calcChain>
</file>

<file path=xl/sharedStrings.xml><?xml version="1.0" encoding="utf-8"?>
<sst xmlns="http://schemas.openxmlformats.org/spreadsheetml/2006/main" count="270" uniqueCount="111">
  <si>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</si>
  <si>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</si>
  <si>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</si>
  <si>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</si>
  <si>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</si>
  <si>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</si>
  <si>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</si>
  <si>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</si>
  <si>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</si>
  <si>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</si>
  <si>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</si>
  <si>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</si>
  <si>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Tank Battery</t>
  </si>
  <si>
    <t>Readable Name</t>
  </si>
  <si>
    <t>Tab</t>
  </si>
  <si>
    <t>Facilities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</si>
  <si>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</si>
  <si>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</si>
  <si>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</si>
  <si>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</si>
  <si>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</si>
  <si>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</si>
  <si>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</si>
  <si>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</si>
  <si>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</si>
  <si>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</si>
  <si>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</si>
  <si>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</si>
  <si>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</si>
  <si>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</si>
  <si>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</si>
  <si>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</si>
  <si>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</si>
  <si>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</si>
  <si>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Component Leak Survey Frequency [days]</t>
  </si>
  <si>
    <t>Actuator Type [Gas, Electric, Air]</t>
  </si>
  <si>
    <t>Electric</t>
  </si>
  <si>
    <t>Flow Gas Composition</t>
  </si>
  <si>
    <t>FFLinks</t>
  </si>
  <si>
    <t>facility_test</t>
  </si>
  <si>
    <t>S1</t>
  </si>
  <si>
    <t>Gas Production [Mscf/day]</t>
  </si>
  <si>
    <t>W1</t>
  </si>
  <si>
    <t>Probes</t>
  </si>
  <si>
    <t>Probe.json</t>
  </si>
  <si>
    <t>Vapor</t>
  </si>
  <si>
    <t>Stage1</t>
  </si>
  <si>
    <t>Activity / Emission Factor Name</t>
  </si>
  <si>
    <t>Oil Production [bbl/day]</t>
  </si>
  <si>
    <t>Water Production [bbl/day]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</si>
  <si>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</si>
  <si>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</si>
  <si>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</si>
  <si>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</si>
  <si>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</si>
  <si>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FlashFractions/FlashFractionsTest.csv</t>
  </si>
  <si>
    <t>DumpingSeparator.json</t>
  </si>
  <si>
    <t>Dump Volume [bbl]</t>
  </si>
  <si>
    <t>Dump Time [s]</t>
  </si>
  <si>
    <t>FixedSource.json</t>
  </si>
  <si>
    <t>probe_c</t>
  </si>
  <si>
    <t>probe_w</t>
  </si>
  <si>
    <t>probe_g</t>
  </si>
  <si>
    <t>Di per month</t>
  </si>
  <si>
    <t>b Hyperbolic</t>
  </si>
  <si>
    <t>Age months</t>
  </si>
  <si>
    <t>Factor Tag</t>
  </si>
  <si>
    <t>Gas</t>
  </si>
  <si>
    <t>Default-LeakGc</t>
  </si>
  <si>
    <t>Well-Condensate.Stage1-Flash</t>
  </si>
  <si>
    <t>Leak GC Name</t>
  </si>
  <si>
    <t>Leak Gas Composition</t>
  </si>
  <si>
    <t>wellpad_sep</t>
  </si>
  <si>
    <t>Source</t>
  </si>
  <si>
    <t>Graph Group</t>
  </si>
  <si>
    <t>w_probe_c</t>
  </si>
  <si>
    <t>w_probe_w</t>
  </si>
  <si>
    <t>WellCondensate</t>
  </si>
  <si>
    <t>WellWater</t>
  </si>
  <si>
    <t>probe_g_ds</t>
  </si>
  <si>
    <t>GasDownstream</t>
  </si>
  <si>
    <t>condensate_gas_sales</t>
  </si>
  <si>
    <t>condensate_flash</t>
  </si>
  <si>
    <t>Battery Type [Condensate Tank, Water Tank]</t>
  </si>
  <si>
    <t>Fluid [Water, Condensate]</t>
  </si>
  <si>
    <t>Number of Thief Hatches</t>
  </si>
  <si>
    <t>Number of Vents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</si>
  <si>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</si>
  <si>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</si>
  <si>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</si>
  <si>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</si>
  <si>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</si>
  <si>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</si>
  <si>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Overpressure Vents Large Emitter MTTR min [days]</t>
  </si>
  <si>
    <t>Overpressure Vents Large Emitter MTTR max [days]</t>
  </si>
  <si>
    <t>Overpressure Vents Large Emitter pLeak</t>
  </si>
  <si>
    <t>Overpressure Vents Large Emitter Threshold [scfh]</t>
  </si>
  <si>
    <t>Inlet Flow At Max Primary Flow [scfh]</t>
  </si>
  <si>
    <t>Max Primary Outlet Flow [scfh]</t>
  </si>
  <si>
    <t>T1</t>
  </si>
  <si>
    <t>Air</t>
  </si>
  <si>
    <t>Condensate Tank</t>
  </si>
  <si>
    <t>TankBattery.json</t>
  </si>
  <si>
    <t>wellpad_tanks</t>
  </si>
  <si>
    <t>input/Studies/TrainingExamples/TestCompositionsFF.csv</t>
  </si>
  <si>
    <t>TankGas</t>
  </si>
  <si>
    <t>tank_flash</t>
  </si>
  <si>
    <t>tank_flash_emitted_gas</t>
  </si>
  <si>
    <t>tank_gas_outlet</t>
  </si>
  <si>
    <t>emitted_gas</t>
  </si>
  <si>
    <t>Output Directory Template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</si>
</sst>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rgb="FF969696"/>
      </patternFill>
    </fill>
    <fill>
      <patternFill patternType="solid">
        <fgColor rgb="FFC6D9F1"/>
        <bgColor rgb="FFCCC1DA"/>
      </patternFill>
    </fill>
    <fill>
      <patternFill patternType="solid">
        <fgColor rgb="FFFCD5B5"/>
        <bgColor rgb="FFCCC1DA"/>
      </patternFill>
    </fill>
    <fill>
      <patternFill patternType="solid">
        <fgColor rgb="FFB3A2C7"/>
        <bgColor rgb="FF9999FF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1" fontId="0" fillId="11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>
      <selection activeCell="B11" sqref="B11"/>
    </sheetView>
  </sheetViews>
  <sheetFormatPr defaultRowHeight="15" x14ac:dyDescent="0.25"/>
  <cols>
    <col min="1" max="1" width="31.5703125" bestFit="1" customWidth="1"/>
    <col min="2" max="2" width="61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100</v>
      </c>
    </row>
    <row r="3" spans="1:2" x14ac:dyDescent="0.25">
      <c r="A3" t="s">
        <v>3</v>
      </c>
      <c r="B3">
        <v>2</v>
      </c>
    </row>
    <row r="4" spans="1:2" x14ac:dyDescent="0.25">
      <c r="A4" t="s">
        <v>110</v>
      </c>
    </row>
    <row r="5" spans="1:2" x14ac:dyDescent="0.25">
      <c r="A5" t="s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6" sqref="D6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4</v>
      </c>
      <c r="B1" s="3" t="s">
        <v>5</v>
      </c>
      <c r="C1" s="3" t="s">
        <v>6</v>
      </c>
      <c r="D1" s="3" t="s">
        <v>71</v>
      </c>
      <c r="E1" s="3" t="s">
        <v>7</v>
      </c>
    </row>
    <row r="2" spans="1:5" x14ac:dyDescent="0.25">
      <c r="A2" t="s">
        <v>39</v>
      </c>
      <c r="B2" s="5">
        <v>0</v>
      </c>
      <c r="C2" s="5">
        <v>0</v>
      </c>
      <c r="D2" t="s">
        <v>104</v>
      </c>
      <c r="E2" t="s">
        <v>16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ED4CD-1B09-4D3A-9261-45C61951185C}">
  <dimension ref="A1:K2"/>
  <sheetViews>
    <sheetView workbookViewId="0">
      <selection activeCell="K2" sqref="K2"/>
    </sheetView>
  </sheetViews>
  <sheetFormatPr defaultRowHeight="15" x14ac:dyDescent="0.25"/>
  <cols>
    <col min="1" max="1" width="11.42578125" bestFit="1" customWidth="1"/>
    <col min="2" max="2" width="16.28515625" bestFit="1" customWidth="1"/>
    <col min="3" max="3" width="7.140625" bestFit="1" customWidth="1"/>
    <col min="4" max="4" width="8.28515625" bestFit="1" customWidth="1"/>
    <col min="5" max="5" width="10.85546875" customWidth="1"/>
    <col min="6" max="7" width="10.7109375" bestFit="1" customWidth="1"/>
    <col min="8" max="8" width="14.5703125" bestFit="1" customWidth="1"/>
    <col min="9" max="9" width="8.7109375" bestFit="1" customWidth="1"/>
    <col min="10" max="10" width="19.85546875" bestFit="1" customWidth="1"/>
    <col min="11" max="11" width="42.85546875" bestFit="1" customWidth="1"/>
  </cols>
  <sheetData>
    <row r="1" spans="1:11" ht="45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4" t="s">
        <v>48</v>
      </c>
      <c r="G1" s="14" t="s">
        <v>49</v>
      </c>
      <c r="H1" s="13" t="s">
        <v>41</v>
      </c>
      <c r="I1" s="7" t="s">
        <v>30</v>
      </c>
      <c r="J1" s="7" t="s">
        <v>70</v>
      </c>
      <c r="K1" s="7" t="s">
        <v>37</v>
      </c>
    </row>
    <row r="2" spans="1:11" x14ac:dyDescent="0.25">
      <c r="A2" t="s">
        <v>39</v>
      </c>
      <c r="B2" t="s">
        <v>59</v>
      </c>
      <c r="C2" t="s">
        <v>42</v>
      </c>
      <c r="D2">
        <v>0</v>
      </c>
      <c r="E2">
        <v>0</v>
      </c>
      <c r="F2" s="12">
        <v>24</v>
      </c>
      <c r="G2" s="12">
        <v>12</v>
      </c>
      <c r="H2">
        <v>500</v>
      </c>
      <c r="I2" t="s">
        <v>11</v>
      </c>
      <c r="J2" t="s">
        <v>68</v>
      </c>
      <c r="K2" t="s">
        <v>104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7B81-B22F-4D94-8A65-C923BC3680CB}">
  <dimension ref="A1:R1"/>
  <sheetViews>
    <sheetView workbookViewId="0">
      <selection activeCell="A2" sqref="A2:XFD2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" bestFit="1" customWidth="1"/>
    <col min="6" max="11" width="12.5703125" customWidth="1"/>
    <col min="12" max="12" width="6.85546875" bestFit="1" customWidth="1"/>
    <col min="14" max="14" width="7.7109375" bestFit="1" customWidth="1"/>
    <col min="15" max="15" width="8.7109375" bestFit="1" customWidth="1"/>
    <col min="16" max="16" width="19.85546875" bestFit="1" customWidth="1"/>
    <col min="17" max="17" width="51.7109375" bestFit="1" customWidth="1"/>
    <col min="18" max="18" width="8.140625" bestFit="1" customWidth="1"/>
  </cols>
  <sheetData>
    <row r="1" spans="1:18" s="10" customFormat="1" ht="75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8" t="s">
        <v>34</v>
      </c>
      <c r="G1" s="18" t="s">
        <v>9</v>
      </c>
      <c r="H1" s="18" t="s">
        <v>10</v>
      </c>
      <c r="I1" s="19" t="s">
        <v>48</v>
      </c>
      <c r="J1" s="19" t="s">
        <v>49</v>
      </c>
      <c r="K1" s="7" t="s">
        <v>35</v>
      </c>
      <c r="L1" s="7" t="s">
        <v>63</v>
      </c>
      <c r="M1" s="7" t="s">
        <v>64</v>
      </c>
      <c r="N1" s="7" t="s">
        <v>65</v>
      </c>
      <c r="O1" s="7" t="s">
        <v>30</v>
      </c>
      <c r="P1" s="7" t="s">
        <v>70</v>
      </c>
      <c r="Q1" s="7" t="s">
        <v>37</v>
      </c>
      <c r="R1" s="7" t="s">
        <v>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"/>
  <sheetViews>
    <sheetView topLeftCell="D1" workbookViewId="0">
      <selection activeCell="E8" sqref="E8"/>
    </sheetView>
  </sheetViews>
  <sheetFormatPr defaultRowHeight="15" x14ac:dyDescent="0.25"/>
  <cols>
    <col min="1" max="1" width="11.42578125" bestFit="1" customWidth="1"/>
    <col min="2" max="2" width="24.42578125" bestFit="1" customWidth="1"/>
    <col min="3" max="3" width="13.42578125" customWidth="1"/>
    <col min="4" max="4" width="11.42578125" bestFit="1" customWidth="1"/>
    <col min="5" max="5" width="35.5703125" bestFit="1" customWidth="1"/>
    <col min="6" max="6" width="11.42578125" bestFit="1" customWidth="1"/>
    <col min="7" max="7" width="10.28515625" style="4" customWidth="1"/>
    <col min="8" max="8" width="7.85546875" bestFit="1" customWidth="1"/>
    <col min="9" max="10" width="7.85546875" customWidth="1"/>
    <col min="11" max="14" width="18.7109375" customWidth="1"/>
    <col min="15" max="15" width="34.85546875" bestFit="1" customWidth="1"/>
    <col min="16" max="16" width="16.28515625" customWidth="1"/>
    <col min="17" max="17" width="47.140625" bestFit="1" customWidth="1"/>
    <col min="18" max="18" width="12.28515625" bestFit="1" customWidth="1"/>
  </cols>
  <sheetData>
    <row r="1" spans="1:18" s="10" customFormat="1" ht="60" x14ac:dyDescent="0.25">
      <c r="A1" s="7" t="s">
        <v>4</v>
      </c>
      <c r="B1" s="7" t="s">
        <v>7</v>
      </c>
      <c r="C1" s="7" t="s">
        <v>8</v>
      </c>
      <c r="D1" s="8" t="s">
        <v>34</v>
      </c>
      <c r="E1" s="8" t="s">
        <v>9</v>
      </c>
      <c r="F1" s="8" t="s">
        <v>10</v>
      </c>
      <c r="G1" s="7" t="s">
        <v>35</v>
      </c>
      <c r="H1" s="9" t="s">
        <v>33</v>
      </c>
      <c r="I1" s="16" t="s">
        <v>57</v>
      </c>
      <c r="J1" s="16" t="s">
        <v>58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  <c r="P1" s="9" t="s">
        <v>31</v>
      </c>
      <c r="Q1" s="7" t="s">
        <v>70</v>
      </c>
      <c r="R1" s="11" t="s">
        <v>66</v>
      </c>
    </row>
    <row r="2" spans="1:18" s="2" customFormat="1" x14ac:dyDescent="0.25">
      <c r="A2" t="s">
        <v>39</v>
      </c>
      <c r="B2" t="s">
        <v>56</v>
      </c>
      <c r="C2" t="s">
        <v>40</v>
      </c>
      <c r="D2" s="6">
        <v>365</v>
      </c>
      <c r="E2" s="6">
        <v>200</v>
      </c>
      <c r="F2" s="6">
        <v>0.02</v>
      </c>
      <c r="G2" s="4" t="s">
        <v>36</v>
      </c>
      <c r="H2">
        <v>1</v>
      </c>
      <c r="I2" s="17">
        <v>12</v>
      </c>
      <c r="J2" s="17">
        <v>60</v>
      </c>
      <c r="K2" s="12">
        <v>1</v>
      </c>
      <c r="L2" s="12">
        <v>0.1</v>
      </c>
      <c r="M2" s="12">
        <v>1</v>
      </c>
      <c r="N2" s="12">
        <v>5</v>
      </c>
      <c r="O2" s="12" t="s">
        <v>55</v>
      </c>
      <c r="P2" t="s">
        <v>46</v>
      </c>
      <c r="Q2" t="s">
        <v>69</v>
      </c>
      <c r="R2" s="2" t="s">
        <v>72</v>
      </c>
    </row>
  </sheetData>
  <phoneticPr fontId="3" type="noConversion"/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F09D-CF8A-48E0-BAAE-EA31C588431C}">
  <dimension ref="A1:Y2"/>
  <sheetViews>
    <sheetView workbookViewId="0">
      <selection activeCell="H2" sqref="H2"/>
    </sheetView>
  </sheetViews>
  <sheetFormatPr defaultColWidth="20.140625" defaultRowHeight="15" x14ac:dyDescent="0.25"/>
  <cols>
    <col min="1" max="1" width="11.42578125" bestFit="1" customWidth="1"/>
    <col min="2" max="2" width="7.140625" bestFit="1" customWidth="1"/>
    <col min="3" max="3" width="16.85546875" bestFit="1" customWidth="1"/>
    <col min="4" max="4" width="23.85546875" bestFit="1" customWidth="1"/>
    <col min="5" max="5" width="12.7109375" bestFit="1" customWidth="1"/>
    <col min="6" max="6" width="17.42578125" bestFit="1" customWidth="1"/>
    <col min="7" max="7" width="22.7109375" bestFit="1" customWidth="1"/>
    <col min="8" max="8" width="17.28515625" bestFit="1" customWidth="1"/>
    <col min="9" max="9" width="15.7109375" bestFit="1" customWidth="1"/>
    <col min="10" max="10" width="16.28515625" bestFit="1" customWidth="1"/>
    <col min="11" max="11" width="15.85546875" bestFit="1" customWidth="1"/>
    <col min="12" max="12" width="16.140625" bestFit="1" customWidth="1"/>
    <col min="13" max="13" width="15.7109375" bestFit="1" customWidth="1"/>
    <col min="14" max="16" width="16.85546875" bestFit="1" customWidth="1"/>
    <col min="17" max="17" width="22.42578125" bestFit="1" customWidth="1"/>
    <col min="18" max="18" width="24.140625" bestFit="1" customWidth="1"/>
    <col min="19" max="19" width="18.85546875" bestFit="1" customWidth="1"/>
    <col min="20" max="20" width="24.140625" bestFit="1" customWidth="1"/>
    <col min="21" max="21" width="18.28515625" bestFit="1" customWidth="1"/>
    <col min="22" max="22" width="18.5703125" bestFit="1" customWidth="1"/>
    <col min="23" max="23" width="16" bestFit="1" customWidth="1"/>
    <col min="24" max="24" width="14.5703125" bestFit="1" customWidth="1"/>
    <col min="25" max="25" width="14" bestFit="1" customWidth="1"/>
  </cols>
  <sheetData>
    <row r="1" spans="1:25" ht="45" x14ac:dyDescent="0.25">
      <c r="A1" s="21" t="s">
        <v>4</v>
      </c>
      <c r="B1" s="21" t="s">
        <v>8</v>
      </c>
      <c r="C1" s="7" t="s">
        <v>35</v>
      </c>
      <c r="D1" s="7" t="s">
        <v>83</v>
      </c>
      <c r="E1" s="22" t="s">
        <v>84</v>
      </c>
      <c r="F1" s="23" t="s">
        <v>9</v>
      </c>
      <c r="G1" s="24" t="s">
        <v>34</v>
      </c>
      <c r="H1" s="24" t="s">
        <v>10</v>
      </c>
      <c r="I1" s="25" t="s">
        <v>85</v>
      </c>
      <c r="J1" s="25" t="s">
        <v>86</v>
      </c>
      <c r="K1" s="26" t="s">
        <v>87</v>
      </c>
      <c r="L1" s="26" t="s">
        <v>88</v>
      </c>
      <c r="M1" s="26" t="s">
        <v>89</v>
      </c>
      <c r="N1" s="27" t="s">
        <v>90</v>
      </c>
      <c r="O1" s="27" t="s">
        <v>91</v>
      </c>
      <c r="P1" s="27" t="s">
        <v>92</v>
      </c>
      <c r="Q1" s="28" t="s">
        <v>93</v>
      </c>
      <c r="R1" s="28" t="s">
        <v>94</v>
      </c>
      <c r="S1" s="28" t="s">
        <v>95</v>
      </c>
      <c r="T1" s="28" t="s">
        <v>96</v>
      </c>
      <c r="U1" s="28" t="s">
        <v>97</v>
      </c>
      <c r="V1" s="28" t="s">
        <v>98</v>
      </c>
      <c r="W1" s="21" t="s">
        <v>7</v>
      </c>
      <c r="X1" s="21" t="s">
        <v>70</v>
      </c>
      <c r="Y1" s="21" t="s">
        <v>66</v>
      </c>
    </row>
    <row r="2" spans="1:25" x14ac:dyDescent="0.25">
      <c r="A2" t="s">
        <v>39</v>
      </c>
      <c r="B2" s="29" t="s">
        <v>99</v>
      </c>
      <c r="C2" s="4" t="s">
        <v>100</v>
      </c>
      <c r="D2" t="s">
        <v>101</v>
      </c>
      <c r="E2" t="s">
        <v>24</v>
      </c>
      <c r="F2" s="30">
        <v>2</v>
      </c>
      <c r="G2" s="30">
        <v>365</v>
      </c>
      <c r="H2" s="30">
        <v>5.0000000000000001E-3</v>
      </c>
      <c r="I2">
        <v>2</v>
      </c>
      <c r="J2">
        <v>1</v>
      </c>
      <c r="K2" s="31">
        <v>0</v>
      </c>
      <c r="L2" s="31">
        <v>365</v>
      </c>
      <c r="M2" s="31">
        <v>0.25</v>
      </c>
      <c r="N2" s="32">
        <v>0</v>
      </c>
      <c r="O2" s="32">
        <v>365</v>
      </c>
      <c r="P2" s="32">
        <v>1E-3</v>
      </c>
      <c r="Q2" s="33">
        <v>15</v>
      </c>
      <c r="R2" s="33">
        <v>15</v>
      </c>
      <c r="S2" s="33">
        <v>0.1</v>
      </c>
      <c r="T2" s="34">
        <v>1000</v>
      </c>
      <c r="U2" s="34">
        <v>5000</v>
      </c>
      <c r="V2" s="34">
        <v>3000</v>
      </c>
      <c r="W2" t="s">
        <v>102</v>
      </c>
      <c r="X2" t="s">
        <v>68</v>
      </c>
      <c r="Y2" t="s">
        <v>103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D14"/>
  <sheetViews>
    <sheetView topLeftCell="A6" workbookViewId="0">
      <selection activeCell="B14" sqref="B14"/>
    </sheetView>
  </sheetViews>
  <sheetFormatPr defaultRowHeight="15" x14ac:dyDescent="0.25"/>
  <cols>
    <col min="1" max="1" width="13.85546875" customWidth="1"/>
    <col min="2" max="2" width="18.7109375" bestFit="1" customWidth="1"/>
    <col min="3" max="3" width="10.5703125" bestFit="1" customWidth="1"/>
    <col min="4" max="4" width="15.85546875" bestFit="1" customWidth="1"/>
  </cols>
  <sheetData>
    <row r="1" spans="1:4" ht="30" x14ac:dyDescent="0.25">
      <c r="A1" s="11" t="s">
        <v>4</v>
      </c>
      <c r="B1" s="11" t="s">
        <v>8</v>
      </c>
      <c r="C1" s="11" t="s">
        <v>7</v>
      </c>
      <c r="D1" s="20" t="s">
        <v>74</v>
      </c>
    </row>
    <row r="2" spans="1:4" x14ac:dyDescent="0.25">
      <c r="A2" t="s">
        <v>39</v>
      </c>
      <c r="B2" t="s">
        <v>60</v>
      </c>
      <c r="C2" t="s">
        <v>44</v>
      </c>
      <c r="D2" t="s">
        <v>24</v>
      </c>
    </row>
    <row r="3" spans="1:4" x14ac:dyDescent="0.25">
      <c r="A3" t="s">
        <v>39</v>
      </c>
      <c r="B3" t="s">
        <v>61</v>
      </c>
      <c r="C3" t="s">
        <v>44</v>
      </c>
      <c r="D3" t="s">
        <v>32</v>
      </c>
    </row>
    <row r="4" spans="1:4" x14ac:dyDescent="0.25">
      <c r="A4" t="s">
        <v>39</v>
      </c>
      <c r="B4" t="s">
        <v>62</v>
      </c>
      <c r="C4" t="s">
        <v>44</v>
      </c>
      <c r="D4" t="s">
        <v>67</v>
      </c>
    </row>
    <row r="6" spans="1:4" x14ac:dyDescent="0.25">
      <c r="A6" t="s">
        <v>39</v>
      </c>
      <c r="B6" t="s">
        <v>75</v>
      </c>
      <c r="C6" t="s">
        <v>44</v>
      </c>
      <c r="D6" t="s">
        <v>77</v>
      </c>
    </row>
    <row r="7" spans="1:4" x14ac:dyDescent="0.25">
      <c r="A7" t="s">
        <v>39</v>
      </c>
      <c r="B7" t="s">
        <v>76</v>
      </c>
      <c r="C7" t="s">
        <v>44</v>
      </c>
      <c r="D7" t="s">
        <v>78</v>
      </c>
    </row>
    <row r="9" spans="1:4" x14ac:dyDescent="0.25">
      <c r="A9" t="s">
        <v>39</v>
      </c>
      <c r="B9" t="s">
        <v>79</v>
      </c>
      <c r="C9" t="s">
        <v>44</v>
      </c>
      <c r="D9" t="s">
        <v>80</v>
      </c>
    </row>
    <row r="11" spans="1:4" x14ac:dyDescent="0.25">
      <c r="A11" t="s">
        <v>39</v>
      </c>
      <c r="B11" t="s">
        <v>106</v>
      </c>
      <c r="C11" t="s">
        <v>44</v>
      </c>
      <c r="D11" t="s">
        <v>105</v>
      </c>
    </row>
    <row r="12" spans="1:4" x14ac:dyDescent="0.25">
      <c r="A12" t="s">
        <v>39</v>
      </c>
      <c r="B12" t="s">
        <v>107</v>
      </c>
      <c r="C12" t="s">
        <v>44</v>
      </c>
      <c r="D12" t="s">
        <v>105</v>
      </c>
    </row>
    <row r="13" spans="1:4" x14ac:dyDescent="0.25">
      <c r="A13" t="s">
        <v>39</v>
      </c>
      <c r="B13" t="s">
        <v>108</v>
      </c>
      <c r="C13" t="s">
        <v>44</v>
      </c>
      <c r="D13" t="s">
        <v>105</v>
      </c>
    </row>
    <row r="14" spans="1:4" x14ac:dyDescent="0.25">
      <c r="A14" t="s">
        <v>39</v>
      </c>
      <c r="B14" t="s">
        <v>109</v>
      </c>
      <c r="C14" t="s">
        <v>44</v>
      </c>
      <c r="D14" t="s">
        <v>105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19"/>
  <sheetViews>
    <sheetView workbookViewId="0">
      <selection activeCell="F24" sqref="F24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2.85546875" bestFit="1" customWidth="1"/>
    <col min="4" max="4" width="13.85546875" bestFit="1" customWidth="1"/>
    <col min="5" max="5" width="18.7109375" bestFit="1" customWidth="1"/>
    <col min="6" max="6" width="11.5703125" bestFit="1" customWidth="1"/>
    <col min="7" max="7" width="23.85546875" bestFit="1" customWidth="1"/>
  </cols>
  <sheetData>
    <row r="1" spans="1:7" x14ac:dyDescent="0.25">
      <c r="A1" s="1" t="s">
        <v>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</row>
    <row r="2" spans="1:7" x14ac:dyDescent="0.25">
      <c r="A2" t="s">
        <v>25</v>
      </c>
      <c r="B2" t="s">
        <v>39</v>
      </c>
      <c r="C2" t="s">
        <v>42</v>
      </c>
      <c r="D2" t="s">
        <v>39</v>
      </c>
      <c r="E2" t="s">
        <v>40</v>
      </c>
      <c r="F2" t="s">
        <v>24</v>
      </c>
    </row>
    <row r="3" spans="1:7" x14ac:dyDescent="0.25">
      <c r="A3" t="s">
        <v>25</v>
      </c>
      <c r="B3" t="s">
        <v>39</v>
      </c>
      <c r="C3" t="s">
        <v>42</v>
      </c>
      <c r="D3" t="s">
        <v>39</v>
      </c>
      <c r="E3" t="s">
        <v>40</v>
      </c>
      <c r="F3" t="s">
        <v>32</v>
      </c>
    </row>
    <row r="5" spans="1:7" x14ac:dyDescent="0.25">
      <c r="A5" t="s">
        <v>25</v>
      </c>
      <c r="B5" t="s">
        <v>39</v>
      </c>
      <c r="C5" t="s">
        <v>42</v>
      </c>
      <c r="D5" t="s">
        <v>39</v>
      </c>
      <c r="E5" t="s">
        <v>75</v>
      </c>
      <c r="F5" t="s">
        <v>24</v>
      </c>
    </row>
    <row r="6" spans="1:7" x14ac:dyDescent="0.25">
      <c r="A6" t="s">
        <v>25</v>
      </c>
      <c r="B6" t="s">
        <v>39</v>
      </c>
      <c r="C6" t="s">
        <v>42</v>
      </c>
      <c r="D6" t="s">
        <v>39</v>
      </c>
      <c r="E6" t="s">
        <v>76</v>
      </c>
      <c r="F6" t="s">
        <v>32</v>
      </c>
    </row>
    <row r="8" spans="1:7" x14ac:dyDescent="0.25">
      <c r="A8" t="s">
        <v>25</v>
      </c>
      <c r="B8" t="s">
        <v>39</v>
      </c>
      <c r="C8" t="s">
        <v>40</v>
      </c>
      <c r="D8" t="s">
        <v>39</v>
      </c>
      <c r="E8" t="s">
        <v>60</v>
      </c>
      <c r="F8" t="s">
        <v>24</v>
      </c>
    </row>
    <row r="9" spans="1:7" x14ac:dyDescent="0.25">
      <c r="A9" t="s">
        <v>25</v>
      </c>
      <c r="B9" t="s">
        <v>39</v>
      </c>
      <c r="C9" t="s">
        <v>40</v>
      </c>
      <c r="D9" t="s">
        <v>39</v>
      </c>
      <c r="E9" t="s">
        <v>61</v>
      </c>
      <c r="F9" t="s">
        <v>32</v>
      </c>
    </row>
    <row r="10" spans="1:7" x14ac:dyDescent="0.25">
      <c r="A10" t="s">
        <v>25</v>
      </c>
      <c r="B10" t="s">
        <v>39</v>
      </c>
      <c r="C10" t="s">
        <v>40</v>
      </c>
      <c r="D10" t="s">
        <v>39</v>
      </c>
      <c r="E10" t="s">
        <v>62</v>
      </c>
      <c r="F10" t="s">
        <v>45</v>
      </c>
      <c r="G10" t="s">
        <v>81</v>
      </c>
    </row>
    <row r="11" spans="1:7" x14ac:dyDescent="0.25">
      <c r="A11" t="s">
        <v>25</v>
      </c>
      <c r="B11" t="s">
        <v>39</v>
      </c>
      <c r="C11" t="s">
        <v>40</v>
      </c>
      <c r="D11" t="s">
        <v>39</v>
      </c>
      <c r="E11" t="s">
        <v>79</v>
      </c>
      <c r="F11" t="s">
        <v>45</v>
      </c>
      <c r="G11" t="s">
        <v>82</v>
      </c>
    </row>
    <row r="13" spans="1:7" x14ac:dyDescent="0.25">
      <c r="A13" t="s">
        <v>25</v>
      </c>
      <c r="B13" t="s">
        <v>39</v>
      </c>
      <c r="C13" t="s">
        <v>40</v>
      </c>
      <c r="D13" t="s">
        <v>39</v>
      </c>
      <c r="E13" t="s">
        <v>99</v>
      </c>
      <c r="F13" t="s">
        <v>24</v>
      </c>
    </row>
    <row r="14" spans="1:7" x14ac:dyDescent="0.25">
      <c r="A14" t="s">
        <v>25</v>
      </c>
      <c r="B14" t="s">
        <v>39</v>
      </c>
      <c r="C14" t="s">
        <v>40</v>
      </c>
      <c r="D14" t="s">
        <v>39</v>
      </c>
      <c r="E14" t="s">
        <v>99</v>
      </c>
      <c r="F14" t="s">
        <v>45</v>
      </c>
      <c r="G14" t="s">
        <v>82</v>
      </c>
    </row>
    <row r="16" spans="1:7" x14ac:dyDescent="0.25">
      <c r="A16" t="s">
        <v>25</v>
      </c>
      <c r="B16" t="s">
        <v>39</v>
      </c>
      <c r="C16" t="s">
        <v>99</v>
      </c>
      <c r="D16" t="s">
        <v>39</v>
      </c>
      <c r="E16" t="s">
        <v>106</v>
      </c>
      <c r="F16" t="s">
        <v>45</v>
      </c>
      <c r="G16" t="s">
        <v>106</v>
      </c>
    </row>
    <row r="17" spans="1:7" x14ac:dyDescent="0.25">
      <c r="A17" t="s">
        <v>25</v>
      </c>
      <c r="B17" t="s">
        <v>39</v>
      </c>
      <c r="C17" t="s">
        <v>99</v>
      </c>
      <c r="D17" t="s">
        <v>39</v>
      </c>
      <c r="E17" t="s">
        <v>107</v>
      </c>
      <c r="F17" t="s">
        <v>45</v>
      </c>
      <c r="G17" t="s">
        <v>107</v>
      </c>
    </row>
    <row r="18" spans="1:7" x14ac:dyDescent="0.25">
      <c r="A18" t="s">
        <v>25</v>
      </c>
      <c r="B18" t="s">
        <v>39</v>
      </c>
      <c r="C18" t="s">
        <v>99</v>
      </c>
      <c r="D18" t="s">
        <v>39</v>
      </c>
      <c r="E18" t="s">
        <v>108</v>
      </c>
      <c r="F18" t="s">
        <v>45</v>
      </c>
      <c r="G18" t="s">
        <v>108</v>
      </c>
    </row>
    <row r="19" spans="1:7" x14ac:dyDescent="0.25">
      <c r="A19" t="s">
        <v>25</v>
      </c>
      <c r="B19" t="s">
        <v>39</v>
      </c>
      <c r="C19" t="s">
        <v>99</v>
      </c>
      <c r="D19" t="s">
        <v>39</v>
      </c>
      <c r="E19" t="s">
        <v>109</v>
      </c>
      <c r="F19" t="s">
        <v>45</v>
      </c>
      <c r="G19" t="s">
        <v>109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2"/>
  <sheetViews>
    <sheetView workbookViewId="0">
      <selection activeCell="A3" sqref="A3:XFD5"/>
    </sheetView>
  </sheetViews>
  <sheetFormatPr defaultRowHeight="15" x14ac:dyDescent="0.25"/>
  <cols>
    <col min="1" max="1" width="19.28515625" bestFit="1" customWidth="1"/>
    <col min="2" max="2" width="12.28515625" bestFit="1" customWidth="1"/>
    <col min="3" max="3" width="11.140625" bestFit="1" customWidth="1"/>
    <col min="4" max="4" width="86" customWidth="1"/>
  </cols>
  <sheetData>
    <row r="1" spans="1:3" x14ac:dyDescent="0.25">
      <c r="A1" t="s">
        <v>7</v>
      </c>
      <c r="B1" t="s">
        <v>27</v>
      </c>
      <c r="C1" t="s">
        <v>28</v>
      </c>
    </row>
    <row r="2" spans="1:3" x14ac:dyDescent="0.25">
      <c r="A2" t="s">
        <v>29</v>
      </c>
      <c r="B2" t="str">
        <f>"FFDump"&amp;C2</f>
        <v>FFDump500</v>
      </c>
      <c r="C2">
        <v>500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8"/>
  <sheetViews>
    <sheetView workbookViewId="0">
      <selection activeCell="B5" sqref="B5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13</v>
      </c>
      <c r="B1" s="1" t="s">
        <v>14</v>
      </c>
    </row>
    <row r="2" spans="1:2" x14ac:dyDescent="0.25">
      <c r="A2" t="s">
        <v>15</v>
      </c>
      <c r="B2" t="s">
        <v>15</v>
      </c>
    </row>
    <row r="3" spans="1:2" x14ac:dyDescent="0.25">
      <c r="A3" t="s">
        <v>73</v>
      </c>
      <c r="B3" t="s">
        <v>73</v>
      </c>
    </row>
    <row r="4" spans="1:2" x14ac:dyDescent="0.25">
      <c r="A4" t="s">
        <v>26</v>
      </c>
      <c r="B4" t="s">
        <v>26</v>
      </c>
    </row>
    <row r="5" spans="1:2" x14ac:dyDescent="0.25">
      <c r="A5" t="s">
        <v>12</v>
      </c>
      <c r="B5" t="s">
        <v>12</v>
      </c>
    </row>
    <row r="6" spans="1:2" x14ac:dyDescent="0.25">
      <c r="A6" t="s">
        <v>43</v>
      </c>
      <c r="B6" t="s">
        <v>43</v>
      </c>
    </row>
    <row r="7" spans="1:2" x14ac:dyDescent="0.25">
      <c r="A7" t="s">
        <v>38</v>
      </c>
      <c r="B7" t="s">
        <v>38</v>
      </c>
    </row>
    <row r="8" spans="1:2" x14ac:dyDescent="0.25">
      <c r="A8" t="s">
        <v>17</v>
      </c>
      <c r="B8" t="s">
        <v>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Global Simulation Parameters</vt:lpstr>
      <vt:lpstr>Facilities</vt:lpstr>
      <vt:lpstr>Source</vt:lpstr>
      <vt:lpstr>ContinuousWells</vt:lpstr>
      <vt:lpstr>Separators</vt:lpstr>
      <vt:lpstr>Tank Battery</vt:lpstr>
      <vt:lpstr>Probes</vt:lpstr>
      <vt:lpstr>FFLinks</vt:lpstr>
      <vt:lpstr>Debug</vt:lpstr>
      <vt:lpstr>Master 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PRAJAY</cp:lastModifiedBy>
  <dcterms:created xsi:type="dcterms:W3CDTF">2021-02-18T15:05:05Z</dcterms:created>
  <dcterms:modified xsi:type="dcterms:W3CDTF">2022-10-31T01:10:43Z</dcterms:modified>
</cp:coreProperties>
</file>