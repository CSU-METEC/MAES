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mdigo\Workspace\MEET2 New V\MEET2\input\Studies\MEET2\"/>
    </mc:Choice>
  </mc:AlternateContent>
  <xr:revisionPtr revIDLastSave="0" documentId="13_ncr:1_{360E3A50-9742-40AA-99BB-4E5A08D5513A}" xr6:coauthVersionLast="47" xr6:coauthVersionMax="47" xr10:uidLastSave="{00000000-0000-0000-0000-000000000000}"/>
  <bookViews>
    <workbookView xWindow="-120" yWindow="-120" windowWidth="29040" windowHeight="15720" tabRatio="937" activeTab="7" xr2:uid="{00000000-000D-0000-FFFF-FFFF00000000}"/>
  </bookViews>
  <sheets>
    <sheet name="Global Simulation Parameters" sheetId="1" r:id="rId1"/>
    <sheet name="Facilities" sheetId="2" r:id="rId2"/>
    <sheet name="Source" sheetId="29" r:id="rId3"/>
    <sheet name="Wells" sheetId="21" r:id="rId4"/>
    <sheet name="CyclingWells" sheetId="25" r:id="rId5"/>
    <sheet name="ContinuousWells" sheetId="26" r:id="rId6"/>
    <sheet name="Separators" sheetId="27" r:id="rId7"/>
    <sheet name="Dehydrators" sheetId="28" r:id="rId8"/>
    <sheet name="TankBattery" sheetId="23" r:id="rId9"/>
    <sheet name="Flares" sheetId="24" r:id="rId10"/>
    <sheet name="Probes" sheetId="22" r:id="rId11"/>
    <sheet name="FFLinks" sheetId="16" r:id="rId12"/>
    <sheet name="Debug" sheetId="17" r:id="rId13"/>
    <sheet name="Master Equipment" sheetId="14" r:id="rId14"/>
    <sheet name="MAll" sheetId="19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<sst xmlns="http://schemas.openxmlformats.org/spreadsheetml/2006/main" count="412" uniqueCount="186">
  <si>
    <t>Simulation Start Date</t>
  </si>
  <si>
    <t>1/1/2021</t>
  </si>
  <si>
    <t>Simulation Duration [Days]</t>
  </si>
  <si>
    <t>Number of Monte Carlo Iterations</t>
  </si>
  <si>
    <t>Output Directory Template</t>
  </si>
  <si>
    <t>output/TankBatteryMassFlow/MC_Last</t>
  </si>
  <si>
    <t>Note</t>
  </si>
  <si>
    <t>output/Site_1/MC_Last_{scenarioTimestamp}</t>
  </si>
  <si>
    <t>output/Site_1/MC_{scenarioTimestamp}</t>
  </si>
  <si>
    <t>output/CycledWellDumpingSeparator/MC_{scenarioTimestamp}</t>
  </si>
  <si>
    <t>E:/OGCI Runs/Site1</t>
  </si>
  <si>
    <t>Activity / Emission Factor Name</t>
  </si>
  <si>
    <t>input/Studies/MEET2/Factors.csv</t>
  </si>
  <si>
    <t>Facility ID</t>
  </si>
  <si>
    <t>Latitude</t>
  </si>
  <si>
    <t>Longitude</t>
  </si>
  <si>
    <t>Leak Gas Composition</t>
  </si>
  <si>
    <t>Model ID</t>
  </si>
  <si>
    <t>facility_test</t>
  </si>
  <si>
    <t>input/Studies/MEET2/TestGCFile1.csv</t>
  </si>
  <si>
    <t>Facility.json</t>
  </si>
  <si>
    <t>Unit ID</t>
  </si>
  <si>
    <t>Component Leak Survey Frequency [days]</t>
  </si>
  <si>
    <t>Component Count</t>
  </si>
  <si>
    <t>Component pLeak</t>
  </si>
  <si>
    <t>Oil Production [bbl/day]</t>
  </si>
  <si>
    <t>Water Production [bbl/day]</t>
  </si>
  <si>
    <t>Total Liquids Produced [bbl/dump]</t>
  </si>
  <si>
    <t>Mean Production Time [s]</t>
  </si>
  <si>
    <t>Production Time Variation [s]</t>
  </si>
  <si>
    <t>Shut In Time Variation [percent]</t>
  </si>
  <si>
    <t>Actuator Type [Gas, Electric, Air]</t>
  </si>
  <si>
    <t>Flow Tag</t>
  </si>
  <si>
    <t>Leak GC Name</t>
  </si>
  <si>
    <t>Flow Gas Composition</t>
  </si>
  <si>
    <t>Factor Tag</t>
  </si>
  <si>
    <t>CycledWell.json</t>
  </si>
  <si>
    <t>W1</t>
  </si>
  <si>
    <t>Gas</t>
  </si>
  <si>
    <t>Well</t>
  </si>
  <si>
    <t>Default-LeakGc</t>
  </si>
  <si>
    <t>wellpad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</si>
  <si>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</si>
  <si>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</si>
  <si>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</si>
  <si>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</si>
  <si>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</si>
  <si>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</si>
  <si>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</si>
  <si>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</si>
  <si>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</si>
  <si>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</si>
  <si>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</si>
  <si>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</si>
  <si>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</si>
  <si>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</si>
  <si>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</si>
  <si>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</si>
  <si>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</si>
  <si>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</si>
  <si>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</si>
  <si>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</si>
  <si>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WellCompletions/Allen2013/DurationsFake.csv</t>
  </si>
  <si>
    <t>Manual</t>
  </si>
  <si>
    <t>No</t>
  </si>
  <si>
    <t>some_vent_ID</t>
  </si>
  <si>
    <t>PreProduction</t>
  </si>
  <si>
    <t>Di per month</t>
  </si>
  <si>
    <t>b Hyperbolic</t>
  </si>
  <si>
    <t>Age months</t>
  </si>
  <si>
    <t>Well.json</t>
  </si>
  <si>
    <t>Yes</t>
  </si>
  <si>
    <t>Production</t>
  </si>
  <si>
    <t>Primary Water Takeoff Ratio</t>
  </si>
  <si>
    <t>Dump Volume [bbl]</t>
  </si>
  <si>
    <t>Dump Time [s]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</si>
  <si>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</si>
  <si>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</si>
  <si>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</si>
  <si>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</si>
  <si>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</si>
  <si>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Flow GC Tag</t>
  </si>
  <si>
    <t>S1</t>
  </si>
  <si>
    <t>ContinuousSeparator.json</t>
  </si>
  <si>
    <t>Electric</t>
  </si>
  <si>
    <t>Stage1</t>
  </si>
  <si>
    <t>Well-Condensate.Stage1-Flash</t>
  </si>
  <si>
    <t>wellpad_sep</t>
  </si>
  <si>
    <t>Battery Type [Condensate Tank, Water Tank]</t>
  </si>
  <si>
    <t>Fluid [Water, Condensate]</t>
  </si>
  <si>
    <t>Number of Thief Hatches</t>
  </si>
  <si>
    <t>Number of Vents</t>
  </si>
  <si>
    <t>Mechanistic Emissions Flag [True, False]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</si>
  <si>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</si>
  <si>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</si>
  <si>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</si>
  <si>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</si>
  <si>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</si>
  <si>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</si>
  <si>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</si>
  <si>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</si>
  <si>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</si>
  <si>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</si>
  <si>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</si>
  <si>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</si>
  <si>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Overpressure Vents Large Emitter MTTR min [days]</t>
  </si>
  <si>
    <t>Overpressure Vents Large Emitter MTTR max [days]</t>
  </si>
  <si>
    <t>Overpressure Vents Large Emitter pLeak</t>
  </si>
  <si>
    <t>Overpressure Vents Large Emitter Threshold [scfh]</t>
  </si>
  <si>
    <t>Inlet Flow At Max Primary Flow [scfh]</t>
  </si>
  <si>
    <t>Max Primary Outlet Flow [scfh]</t>
  </si>
  <si>
    <t>TankBattery.json</t>
  </si>
  <si>
    <t>TBW</t>
  </si>
  <si>
    <t>Air</t>
  </si>
  <si>
    <t>Water Tank</t>
  </si>
  <si>
    <t>Water</t>
  </si>
  <si>
    <t>Well-Water.Stage1-Water.Stage2-Water.Tank-Flash</t>
  </si>
  <si>
    <t>wellpad_tanks</t>
  </si>
  <si>
    <t>TBC</t>
  </si>
  <si>
    <t>Condensate Tank</t>
  </si>
  <si>
    <t>Condensate</t>
  </si>
  <si>
    <t>Well-Condensate.Stage1-Condensate.Stage2-Condensate.Tank-Flash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</si>
  <si>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</si>
  <si>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</si>
  <si>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</si>
  <si>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</si>
  <si>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</si>
  <si>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</si>
  <si>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</si>
  <si>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</si>
  <si>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</si>
  <si>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</si>
  <si>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</si>
  <si>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</si>
  <si>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</si>
  <si>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wellpad_flare</t>
  </si>
  <si>
    <t>probe_c</t>
  </si>
  <si>
    <t>Probe.json</t>
  </si>
  <si>
    <t>probe_w</t>
  </si>
  <si>
    <t>probe_g</t>
  </si>
  <si>
    <t>Outlet FacilityID</t>
  </si>
  <si>
    <t>Outlet UnitID</t>
  </si>
  <si>
    <t>Inlet FacilityID</t>
  </si>
  <si>
    <t>Inlet UnitID</t>
  </si>
  <si>
    <t>Flow Name</t>
  </si>
  <si>
    <t>Flow SecondaryID</t>
  </si>
  <si>
    <t>FFLink.json</t>
  </si>
  <si>
    <t>Vapor</t>
  </si>
  <si>
    <t>DumpID</t>
  </si>
  <si>
    <t>Dump Time</t>
  </si>
  <si>
    <t>FFDumpService.json</t>
  </si>
  <si>
    <t>Readable Name</t>
  </si>
  <si>
    <t>Tab</t>
  </si>
  <si>
    <t>Facilities</t>
  </si>
  <si>
    <t>Separators</t>
  </si>
  <si>
    <t>FFLinks</t>
  </si>
  <si>
    <t>Debug</t>
  </si>
  <si>
    <t>Wells</t>
  </si>
  <si>
    <t>Common Headers</t>
  </si>
  <si>
    <t>Dehydrators</t>
  </si>
  <si>
    <t>Compressors</t>
  </si>
  <si>
    <t>Yard Piping</t>
  </si>
  <si>
    <t>Tank Battery</t>
  </si>
  <si>
    <t>VRUs</t>
  </si>
  <si>
    <t>Flares</t>
  </si>
  <si>
    <t>Links</t>
  </si>
  <si>
    <t>Facility Type</t>
  </si>
  <si>
    <t>Common</t>
  </si>
  <si>
    <t>Flash Tank  [True, False]</t>
  </si>
  <si>
    <t>Operating Hours [hrs/year]</t>
  </si>
  <si>
    <t>Glycol Pump [Electric, Gas-Assisted]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</si>
  <si>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</si>
  <si>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</si>
  <si>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Wet Gas Flow Rate [MMSCF/D]</t>
  </si>
  <si>
    <t>Glycol Type [TEG, DEG, EG]</t>
  </si>
  <si>
    <t>dehy_001</t>
  </si>
  <si>
    <t>Gas Assisted</t>
  </si>
  <si>
    <t>TEG</t>
  </si>
  <si>
    <t>Dehydrator.json</t>
  </si>
  <si>
    <t>gas_sales</t>
  </si>
  <si>
    <t>source_1</t>
  </si>
  <si>
    <t>Gas Production [Mscf/day]</t>
  </si>
  <si>
    <t>FixedSource.json</t>
  </si>
  <si>
    <t>Source</t>
  </si>
  <si>
    <t xml:space="preserve">Lean Glycol Circulation Ratio [gal/lb H2O] </t>
  </si>
  <si>
    <t>Lean Glycol Circulation Rate [gpm]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</si>
</sst>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3" borderId="0" applyNumberFormat="0" applyBorder="0" applyAlignment="0" applyProtection="0"/>
  </cellStyleXfs>
  <cellXfs count="4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1" fontId="0" fillId="10" borderId="0" xfId="0" applyNumberFormat="1" applyFill="1"/>
    <xf numFmtId="0" fontId="0" fillId="11" borderId="0" xfId="0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3" borderId="0" xfId="1" applyAlignment="1"/>
    <xf numFmtId="0" fontId="4" fillId="13" borderId="0" xfId="1"/>
    <xf numFmtId="0" fontId="2" fillId="0" borderId="1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B10" sqref="B10"/>
    </sheetView>
  </sheetViews>
  <sheetFormatPr defaultRowHeight="14.5" x14ac:dyDescent="0.35"/>
  <cols>
    <col min="1" max="1" width="29.26953125" bestFit="1" customWidth="1"/>
    <col min="2" max="2" width="58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>
        <v>10</v>
      </c>
    </row>
    <row r="3" spans="1:2" x14ac:dyDescent="0.35">
      <c r="A3" t="s">
        <v>3</v>
      </c>
      <c r="B3">
        <v>2</v>
      </c>
    </row>
    <row r="4" spans="1:2" x14ac:dyDescent="0.35">
      <c r="A4" s="32" t="s">
        <v>4</v>
      </c>
      <c r="B4" t="s">
        <v>5</v>
      </c>
    </row>
    <row r="5" spans="1:2" x14ac:dyDescent="0.35">
      <c r="A5" t="s">
        <v>6</v>
      </c>
      <c r="B5" t="s">
        <v>7</v>
      </c>
    </row>
    <row r="6" spans="1:2" x14ac:dyDescent="0.35">
      <c r="A6" t="s">
        <v>6</v>
      </c>
      <c r="B6" t="s">
        <v>8</v>
      </c>
    </row>
    <row r="7" spans="1:2" x14ac:dyDescent="0.35">
      <c r="A7" t="s">
        <v>6</v>
      </c>
      <c r="B7" t="s">
        <v>9</v>
      </c>
    </row>
    <row r="8" spans="1:2" x14ac:dyDescent="0.35">
      <c r="A8" t="s">
        <v>6</v>
      </c>
      <c r="B8" t="s">
        <v>10</v>
      </c>
    </row>
    <row r="9" spans="1:2" x14ac:dyDescent="0.35">
      <c r="A9" t="s">
        <v>11</v>
      </c>
      <c r="B9" t="s">
        <v>12</v>
      </c>
    </row>
    <row r="10" spans="1:2" x14ac:dyDescent="0.35">
      <c r="A10" t="s">
        <v>166</v>
      </c>
      <c r="B10" t="s">
        <v>167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" sqref="D2"/>
    </sheetView>
  </sheetViews>
  <sheetFormatPr defaultRowHeight="14.5" x14ac:dyDescent="0.35"/>
  <cols>
    <col min="1" max="1" width="11.453125" bestFit="1" customWidth="1"/>
    <col min="2" max="2" width="9.54296875" bestFit="1" customWidth="1"/>
    <col min="3" max="3" width="9.81640625" bestFit="1" customWidth="1"/>
    <col min="4" max="4" width="59.453125" bestFit="1" customWidth="1"/>
    <col min="5" max="5" width="11.54296875" bestFit="1" customWidth="1"/>
  </cols>
  <sheetData>
    <row r="1" spans="1:5" s="2" customFormat="1" x14ac:dyDescent="0.35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</row>
    <row r="2" spans="1:5" x14ac:dyDescent="0.35">
      <c r="A2" t="s">
        <v>18</v>
      </c>
      <c r="B2" s="5">
        <v>0</v>
      </c>
      <c r="C2" s="5">
        <v>0</v>
      </c>
      <c r="D2" t="s">
        <v>19</v>
      </c>
      <c r="E2" t="s">
        <v>20</v>
      </c>
    </row>
    <row r="3" spans="1:5" x14ac:dyDescent="0.35">
      <c r="B3" s="5"/>
      <c r="C3" s="5"/>
    </row>
    <row r="4" spans="1:5" x14ac:dyDescent="0.3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2F43-787E-4DBC-9A8F-AA73C961FC53}">
  <dimension ref="A1:K2"/>
  <sheetViews>
    <sheetView workbookViewId="0">
      <selection activeCell="H3" sqref="H3"/>
    </sheetView>
  </sheetViews>
  <sheetFormatPr defaultColWidth="15.81640625" defaultRowHeight="14.5" x14ac:dyDescent="0.35"/>
  <cols>
    <col min="1" max="1" width="11.453125" bestFit="1" customWidth="1"/>
    <col min="2" max="2" width="16.81640625" bestFit="1" customWidth="1"/>
    <col min="3" max="3" width="8.453125" bestFit="1" customWidth="1"/>
    <col min="4" max="4" width="8.26953125" bestFit="1" customWidth="1"/>
    <col min="5" max="5" width="9.81640625" bestFit="1" customWidth="1"/>
    <col min="6" max="6" width="13.81640625" bestFit="1" customWidth="1"/>
    <col min="7" max="7" width="10.7265625" bestFit="1" customWidth="1"/>
    <col min="8" max="8" width="14.54296875" bestFit="1" customWidth="1"/>
    <col min="9" max="9" width="8.7265625" bestFit="1" customWidth="1"/>
    <col min="10" max="10" width="19.81640625" bestFit="1" customWidth="1"/>
    <col min="11" max="11" width="59.453125" bestFit="1" customWidth="1"/>
  </cols>
  <sheetData>
    <row r="1" spans="1:11" s="10" customFormat="1" ht="43.5" x14ac:dyDescent="0.35">
      <c r="A1" s="7" t="s">
        <v>13</v>
      </c>
      <c r="B1" s="7" t="s">
        <v>17</v>
      </c>
      <c r="C1" s="7" t="s">
        <v>21</v>
      </c>
      <c r="D1" s="7" t="s">
        <v>14</v>
      </c>
      <c r="E1" s="7" t="s">
        <v>15</v>
      </c>
      <c r="F1" s="13" t="s">
        <v>25</v>
      </c>
      <c r="G1" s="13" t="s">
        <v>26</v>
      </c>
      <c r="H1" s="41" t="s">
        <v>181</v>
      </c>
      <c r="I1" s="7" t="s">
        <v>32</v>
      </c>
      <c r="J1" s="7" t="s">
        <v>33</v>
      </c>
      <c r="K1" s="7" t="s">
        <v>34</v>
      </c>
    </row>
    <row r="2" spans="1:11" x14ac:dyDescent="0.35">
      <c r="A2" t="s">
        <v>18</v>
      </c>
      <c r="B2" t="s">
        <v>182</v>
      </c>
      <c r="C2" t="s">
        <v>180</v>
      </c>
      <c r="D2">
        <v>0</v>
      </c>
      <c r="E2">
        <v>0</v>
      </c>
      <c r="F2" s="12">
        <v>9.9999999999999995E-7</v>
      </c>
      <c r="G2" s="12">
        <v>9.9999999999999995E-7</v>
      </c>
      <c r="H2">
        <v>10</v>
      </c>
      <c r="I2" t="s">
        <v>39</v>
      </c>
      <c r="J2" t="s">
        <v>40</v>
      </c>
      <c r="K2" t="s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3"/>
  <sheetViews>
    <sheetView workbookViewId="0">
      <selection activeCell="S4" sqref="S4"/>
    </sheetView>
  </sheetViews>
  <sheetFormatPr defaultColWidth="15.81640625" defaultRowHeight="14.5" x14ac:dyDescent="0.35"/>
  <cols>
    <col min="1" max="1" width="11.453125" bestFit="1" customWidth="1"/>
    <col min="2" max="2" width="15.453125" bestFit="1" customWidth="1"/>
    <col min="3" max="3" width="7.1796875" bestFit="1" customWidth="1"/>
    <col min="4" max="4" width="8.26953125" bestFit="1" customWidth="1"/>
    <col min="5" max="5" width="9.81640625" bestFit="1" customWidth="1"/>
    <col min="6" max="8" width="11.453125" bestFit="1" customWidth="1"/>
    <col min="9" max="10" width="10.7265625" bestFit="1" customWidth="1"/>
    <col min="11" max="11" width="12.1796875" bestFit="1" customWidth="1"/>
    <col min="12" max="12" width="10.7265625" bestFit="1" customWidth="1"/>
    <col min="13" max="13" width="15.7265625" bestFit="1" customWidth="1"/>
    <col min="14" max="14" width="9.26953125" bestFit="1" customWidth="1"/>
    <col min="15" max="15" width="13.453125" bestFit="1" customWidth="1"/>
    <col min="16" max="16" width="8.7265625" bestFit="1" customWidth="1"/>
    <col min="17" max="17" width="19.81640625" bestFit="1" customWidth="1"/>
    <col min="18" max="18" width="42.81640625" bestFit="1" customWidth="1"/>
    <col min="19" max="19" width="9.81640625" bestFit="1" customWidth="1"/>
  </cols>
  <sheetData>
    <row r="1" spans="1:19" s="10" customFormat="1" ht="58" x14ac:dyDescent="0.35">
      <c r="A1" s="7" t="s">
        <v>13</v>
      </c>
      <c r="B1" s="7" t="s">
        <v>17</v>
      </c>
      <c r="C1" s="7" t="s">
        <v>21</v>
      </c>
      <c r="D1" s="7" t="s">
        <v>14</v>
      </c>
      <c r="E1" s="7" t="s">
        <v>15</v>
      </c>
      <c r="F1" s="17" t="s">
        <v>22</v>
      </c>
      <c r="G1" s="17" t="s">
        <v>23</v>
      </c>
      <c r="H1" s="17" t="s">
        <v>24</v>
      </c>
      <c r="I1" s="13" t="s">
        <v>25</v>
      </c>
      <c r="J1" s="13" t="s">
        <v>26</v>
      </c>
      <c r="K1" s="18" t="s">
        <v>27</v>
      </c>
      <c r="L1" s="18" t="s">
        <v>28</v>
      </c>
      <c r="M1" s="18" t="s">
        <v>29</v>
      </c>
      <c r="N1" s="18" t="s">
        <v>30</v>
      </c>
      <c r="O1" s="7" t="s">
        <v>31</v>
      </c>
      <c r="P1" s="7" t="s">
        <v>32</v>
      </c>
      <c r="Q1" s="7" t="s">
        <v>33</v>
      </c>
      <c r="R1" s="7" t="s">
        <v>34</v>
      </c>
      <c r="S1" s="7" t="s">
        <v>35</v>
      </c>
    </row>
    <row r="2" spans="1:19" x14ac:dyDescent="0.35">
      <c r="A2" t="s">
        <v>18</v>
      </c>
      <c r="B2" t="s">
        <v>36</v>
      </c>
      <c r="C2" t="s">
        <v>37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20">
        <v>1</v>
      </c>
      <c r="L2" s="20">
        <v>60</v>
      </c>
      <c r="M2" s="20">
        <v>3</v>
      </c>
      <c r="N2" s="20">
        <v>3</v>
      </c>
      <c r="O2" t="s">
        <v>38</v>
      </c>
      <c r="P2" t="s">
        <v>39</v>
      </c>
      <c r="Q2" t="s">
        <v>40</v>
      </c>
      <c r="R2" t="s">
        <v>19</v>
      </c>
      <c r="S2" t="s">
        <v>41</v>
      </c>
    </row>
    <row r="3" spans="1:19" x14ac:dyDescent="0.35">
      <c r="A3" t="s">
        <v>18</v>
      </c>
      <c r="B3" t="s">
        <v>36</v>
      </c>
      <c r="C3" t="s">
        <v>42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20">
        <v>1</v>
      </c>
      <c r="L3" s="20">
        <v>60</v>
      </c>
      <c r="M3" s="20">
        <v>3</v>
      </c>
      <c r="N3" s="20">
        <v>3</v>
      </c>
      <c r="O3" t="s">
        <v>38</v>
      </c>
      <c r="P3" t="s">
        <v>39</v>
      </c>
      <c r="Q3" t="s">
        <v>40</v>
      </c>
      <c r="R3" t="s">
        <v>19</v>
      </c>
      <c r="S3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3"/>
  <sheetViews>
    <sheetView workbookViewId="0">
      <selection activeCell="O18" sqref="O18"/>
    </sheetView>
  </sheetViews>
  <sheetFormatPr defaultRowHeight="14.5" x14ac:dyDescent="0.35"/>
  <cols>
    <col min="1" max="1" width="11.453125" bestFit="1" customWidth="1"/>
    <col min="2" max="2" width="15.453125" bestFit="1" customWidth="1"/>
    <col min="3" max="3" width="7.1796875" bestFit="1" customWidth="1"/>
    <col min="4" max="4" width="8.26953125" bestFit="1" customWidth="1"/>
    <col min="5" max="5" width="9.81640625" bestFit="1" customWidth="1"/>
    <col min="6" max="8" width="11.1796875" customWidth="1"/>
    <col min="9" max="10" width="11.453125" customWidth="1"/>
    <col min="11" max="12" width="8.7265625" bestFit="1" customWidth="1"/>
    <col min="13" max="14" width="7.453125" bestFit="1" customWidth="1"/>
    <col min="15" max="15" width="44" bestFit="1" customWidth="1"/>
    <col min="17" max="18" width="7.453125" bestFit="1" customWidth="1"/>
    <col min="19" max="19" width="8.26953125" bestFit="1" customWidth="1"/>
    <col min="20" max="20" width="8.453125" bestFit="1" customWidth="1"/>
    <col min="23" max="23" width="8.54296875" bestFit="1" customWidth="1"/>
    <col min="29" max="30" width="8.7265625" bestFit="1" customWidth="1"/>
    <col min="33" max="34" width="13.81640625" bestFit="1" customWidth="1"/>
    <col min="35" max="35" width="8.7265625" bestFit="1" customWidth="1"/>
    <col min="36" max="36" width="14.54296875" bestFit="1" customWidth="1"/>
    <col min="37" max="37" width="42.81640625" bestFit="1" customWidth="1"/>
    <col min="38" max="38" width="7.54296875" bestFit="1" customWidth="1"/>
  </cols>
  <sheetData>
    <row r="1" spans="1:38" s="10" customFormat="1" ht="87" x14ac:dyDescent="0.35">
      <c r="A1" s="7" t="s">
        <v>13</v>
      </c>
      <c r="B1" s="7" t="s">
        <v>17</v>
      </c>
      <c r="C1" s="7" t="s">
        <v>21</v>
      </c>
      <c r="D1" s="7" t="s">
        <v>14</v>
      </c>
      <c r="E1" s="7" t="s">
        <v>15</v>
      </c>
      <c r="F1" s="17" t="s">
        <v>22</v>
      </c>
      <c r="G1" s="17" t="s">
        <v>23</v>
      </c>
      <c r="H1" s="17" t="s">
        <v>24</v>
      </c>
      <c r="I1" s="13" t="s">
        <v>25</v>
      </c>
      <c r="J1" s="13" t="s">
        <v>26</v>
      </c>
      <c r="K1" s="35" t="s">
        <v>43</v>
      </c>
      <c r="L1" s="35" t="s">
        <v>44</v>
      </c>
      <c r="M1" s="35" t="s">
        <v>45</v>
      </c>
      <c r="N1" s="35" t="s">
        <v>46</v>
      </c>
      <c r="O1" s="35" t="s">
        <v>47</v>
      </c>
      <c r="P1" s="35" t="s">
        <v>48</v>
      </c>
      <c r="Q1" s="35" t="s">
        <v>49</v>
      </c>
      <c r="R1" s="35" t="s">
        <v>50</v>
      </c>
      <c r="S1" s="18" t="s">
        <v>27</v>
      </c>
      <c r="T1" s="18" t="s">
        <v>28</v>
      </c>
      <c r="U1" s="18" t="s">
        <v>29</v>
      </c>
      <c r="V1" s="18" t="s">
        <v>30</v>
      </c>
      <c r="W1" s="7" t="s">
        <v>31</v>
      </c>
      <c r="X1" s="26" t="s">
        <v>51</v>
      </c>
      <c r="Y1" s="26" t="s">
        <v>52</v>
      </c>
      <c r="Z1" s="26" t="s">
        <v>53</v>
      </c>
      <c r="AA1" s="26" t="s">
        <v>54</v>
      </c>
      <c r="AB1" s="26" t="s">
        <v>55</v>
      </c>
      <c r="AC1" s="26" t="s">
        <v>56</v>
      </c>
      <c r="AD1" s="26" t="s">
        <v>57</v>
      </c>
      <c r="AE1" s="26" t="s">
        <v>58</v>
      </c>
      <c r="AF1" s="26" t="s">
        <v>59</v>
      </c>
      <c r="AG1" s="26" t="s">
        <v>60</v>
      </c>
      <c r="AH1" s="35" t="s">
        <v>61</v>
      </c>
      <c r="AI1" s="7" t="s">
        <v>32</v>
      </c>
      <c r="AJ1" s="7" t="s">
        <v>33</v>
      </c>
      <c r="AK1" s="7" t="s">
        <v>34</v>
      </c>
      <c r="AL1" s="7" t="s">
        <v>35</v>
      </c>
    </row>
    <row r="2" spans="1:38" x14ac:dyDescent="0.35">
      <c r="A2" t="s">
        <v>18</v>
      </c>
      <c r="B2" t="s">
        <v>36</v>
      </c>
      <c r="C2" t="s">
        <v>37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62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38</v>
      </c>
      <c r="X2" s="30" t="b">
        <v>1</v>
      </c>
      <c r="Y2" s="30">
        <v>2</v>
      </c>
      <c r="Z2" s="30">
        <v>3</v>
      </c>
      <c r="AA2" s="30" t="s">
        <v>63</v>
      </c>
      <c r="AB2" s="30" t="s">
        <v>64</v>
      </c>
      <c r="AC2" s="30">
        <v>2</v>
      </c>
      <c r="AD2" s="30">
        <v>3</v>
      </c>
      <c r="AE2" s="30">
        <v>2</v>
      </c>
      <c r="AF2" s="30">
        <v>3</v>
      </c>
      <c r="AG2" s="30" t="s">
        <v>65</v>
      </c>
      <c r="AH2" s="19" t="s">
        <v>66</v>
      </c>
      <c r="AI2" t="s">
        <v>39</v>
      </c>
      <c r="AJ2" t="s">
        <v>40</v>
      </c>
      <c r="AK2" t="s">
        <v>19</v>
      </c>
      <c r="AL2" t="s">
        <v>41</v>
      </c>
    </row>
    <row r="3" spans="1:38" x14ac:dyDescent="0.35">
      <c r="A3" t="s">
        <v>18</v>
      </c>
      <c r="B3" t="s">
        <v>36</v>
      </c>
      <c r="C3" t="s">
        <v>42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19">
        <v>1</v>
      </c>
      <c r="L3" s="19">
        <v>0.5</v>
      </c>
      <c r="M3" s="19">
        <v>1</v>
      </c>
      <c r="N3" s="19">
        <v>0.4</v>
      </c>
      <c r="O3" s="19" t="s">
        <v>62</v>
      </c>
      <c r="P3" s="19">
        <v>0.6</v>
      </c>
      <c r="Q3" s="19">
        <v>1</v>
      </c>
      <c r="R3" s="19">
        <v>0.3</v>
      </c>
      <c r="S3" s="20">
        <v>1</v>
      </c>
      <c r="T3" s="20">
        <v>60</v>
      </c>
      <c r="U3" s="20">
        <v>10</v>
      </c>
      <c r="V3" s="20">
        <v>10</v>
      </c>
      <c r="W3" t="s">
        <v>38</v>
      </c>
      <c r="X3" s="30" t="b">
        <v>1</v>
      </c>
      <c r="Y3" s="30">
        <v>2</v>
      </c>
      <c r="Z3" s="30">
        <v>3</v>
      </c>
      <c r="AA3" s="30" t="s">
        <v>63</v>
      </c>
      <c r="AB3" s="30" t="s">
        <v>64</v>
      </c>
      <c r="AC3" s="30">
        <v>2</v>
      </c>
      <c r="AD3" s="30">
        <v>3</v>
      </c>
      <c r="AE3" s="30">
        <v>2</v>
      </c>
      <c r="AF3" s="30">
        <v>3</v>
      </c>
      <c r="AG3" s="30" t="s">
        <v>65</v>
      </c>
      <c r="AH3" s="19" t="s">
        <v>66</v>
      </c>
      <c r="AI3" t="s">
        <v>39</v>
      </c>
      <c r="AJ3" t="s">
        <v>40</v>
      </c>
      <c r="AK3" t="s">
        <v>19</v>
      </c>
      <c r="AL3" t="s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AK3"/>
  <sheetViews>
    <sheetView topLeftCell="P1" workbookViewId="0">
      <selection activeCell="S2" sqref="S2"/>
    </sheetView>
  </sheetViews>
  <sheetFormatPr defaultRowHeight="14.5" x14ac:dyDescent="0.35"/>
  <cols>
    <col min="1" max="1" width="11.453125" bestFit="1" customWidth="1"/>
    <col min="2" max="2" width="9.453125" bestFit="1" customWidth="1"/>
    <col min="3" max="3" width="7.1796875" bestFit="1" customWidth="1"/>
    <col min="4" max="5" width="10.26953125" bestFit="1" customWidth="1"/>
    <col min="6" max="6" width="9" bestFit="1" customWidth="1"/>
    <col min="7" max="8" width="8.453125" bestFit="1" customWidth="1"/>
    <col min="9" max="11" width="8.54296875" bestFit="1" customWidth="1"/>
    <col min="12" max="12" width="6.81640625" bestFit="1" customWidth="1"/>
    <col min="14" max="14" width="7.7265625" bestFit="1" customWidth="1"/>
    <col min="15" max="16" width="8.7265625" bestFit="1" customWidth="1"/>
    <col min="17" max="18" width="7.453125" bestFit="1" customWidth="1"/>
    <col min="19" max="19" width="44" bestFit="1" customWidth="1"/>
    <col min="21" max="22" width="7.453125" bestFit="1" customWidth="1"/>
    <col min="28" max="29" width="8.7265625" bestFit="1" customWidth="1"/>
    <col min="32" max="32" width="13.81640625" bestFit="1" customWidth="1"/>
    <col min="33" max="33" width="10.7265625" bestFit="1" customWidth="1"/>
    <col min="34" max="34" width="8.7265625" bestFit="1" customWidth="1"/>
    <col min="35" max="35" width="14.54296875" bestFit="1" customWidth="1"/>
    <col min="36" max="36" width="42.81640625" bestFit="1" customWidth="1"/>
  </cols>
  <sheetData>
    <row r="1" spans="1:37" s="10" customFormat="1" ht="87" x14ac:dyDescent="0.35">
      <c r="A1" s="7" t="s">
        <v>13</v>
      </c>
      <c r="B1" s="7" t="s">
        <v>17</v>
      </c>
      <c r="C1" s="7" t="s">
        <v>21</v>
      </c>
      <c r="D1" s="7" t="s">
        <v>14</v>
      </c>
      <c r="E1" s="7" t="s">
        <v>15</v>
      </c>
      <c r="F1" s="17" t="s">
        <v>22</v>
      </c>
      <c r="G1" s="17" t="s">
        <v>23</v>
      </c>
      <c r="H1" s="17" t="s">
        <v>24</v>
      </c>
      <c r="I1" s="36" t="s">
        <v>25</v>
      </c>
      <c r="J1" s="36" t="s">
        <v>26</v>
      </c>
      <c r="K1" s="7" t="s">
        <v>31</v>
      </c>
      <c r="L1" s="7" t="s">
        <v>67</v>
      </c>
      <c r="M1" s="7" t="s">
        <v>68</v>
      </c>
      <c r="N1" s="7" t="s">
        <v>69</v>
      </c>
      <c r="O1" s="35" t="s">
        <v>43</v>
      </c>
      <c r="P1" s="35" t="s">
        <v>44</v>
      </c>
      <c r="Q1" s="35" t="s">
        <v>45</v>
      </c>
      <c r="R1" s="35" t="s">
        <v>46</v>
      </c>
      <c r="S1" s="35" t="s">
        <v>47</v>
      </c>
      <c r="T1" s="35" t="s">
        <v>48</v>
      </c>
      <c r="U1" s="35" t="s">
        <v>49</v>
      </c>
      <c r="V1" s="35" t="s">
        <v>50</v>
      </c>
      <c r="W1" s="26" t="s">
        <v>51</v>
      </c>
      <c r="X1" s="26" t="s">
        <v>52</v>
      </c>
      <c r="Y1" s="26" t="s">
        <v>53</v>
      </c>
      <c r="Z1" s="26" t="s">
        <v>54</v>
      </c>
      <c r="AA1" s="26" t="s">
        <v>55</v>
      </c>
      <c r="AB1" s="26" t="s">
        <v>56</v>
      </c>
      <c r="AC1" s="26" t="s">
        <v>57</v>
      </c>
      <c r="AD1" s="26" t="s">
        <v>58</v>
      </c>
      <c r="AE1" s="26" t="s">
        <v>59</v>
      </c>
      <c r="AF1" s="26" t="s">
        <v>60</v>
      </c>
      <c r="AG1" s="26" t="s">
        <v>61</v>
      </c>
      <c r="AH1" s="7" t="s">
        <v>32</v>
      </c>
      <c r="AI1" s="7" t="s">
        <v>33</v>
      </c>
      <c r="AJ1" s="7" t="s">
        <v>34</v>
      </c>
      <c r="AK1" s="11" t="s">
        <v>35</v>
      </c>
    </row>
    <row r="2" spans="1:37" x14ac:dyDescent="0.35">
      <c r="A2" t="s">
        <v>18</v>
      </c>
      <c r="B2" t="s">
        <v>70</v>
      </c>
      <c r="C2" t="s">
        <v>37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0">
        <v>24</v>
      </c>
      <c r="J2" s="30">
        <v>24</v>
      </c>
      <c r="K2" t="s">
        <v>38</v>
      </c>
      <c r="L2">
        <v>0</v>
      </c>
      <c r="M2">
        <v>1E-4</v>
      </c>
      <c r="N2">
        <v>1</v>
      </c>
      <c r="O2" s="19">
        <v>1</v>
      </c>
      <c r="P2" s="19">
        <v>0.5</v>
      </c>
      <c r="Q2" s="19">
        <v>1</v>
      </c>
      <c r="R2" s="19">
        <v>0.4</v>
      </c>
      <c r="S2" s="19" t="s">
        <v>62</v>
      </c>
      <c r="T2" s="19">
        <v>0.6</v>
      </c>
      <c r="U2" s="19">
        <v>1</v>
      </c>
      <c r="V2" s="19">
        <v>0.3</v>
      </c>
      <c r="W2" s="30" t="b">
        <v>0</v>
      </c>
      <c r="X2" s="30">
        <v>2</v>
      </c>
      <c r="Y2" s="30">
        <v>3</v>
      </c>
      <c r="Z2" s="30" t="s">
        <v>63</v>
      </c>
      <c r="AA2" s="30" t="s">
        <v>71</v>
      </c>
      <c r="AB2" s="30">
        <v>2</v>
      </c>
      <c r="AC2" s="30">
        <v>3</v>
      </c>
      <c r="AD2" s="30">
        <v>2</v>
      </c>
      <c r="AE2" s="30">
        <v>3</v>
      </c>
      <c r="AF2" s="30" t="s">
        <v>65</v>
      </c>
      <c r="AG2" s="30" t="s">
        <v>72</v>
      </c>
      <c r="AH2" t="s">
        <v>39</v>
      </c>
      <c r="AI2" t="s">
        <v>40</v>
      </c>
      <c r="AJ2" t="s">
        <v>19</v>
      </c>
      <c r="AK2" t="s">
        <v>41</v>
      </c>
    </row>
    <row r="3" spans="1:37" x14ac:dyDescent="0.35">
      <c r="A3" t="s">
        <v>18</v>
      </c>
      <c r="B3" t="s">
        <v>70</v>
      </c>
      <c r="C3" t="s">
        <v>42</v>
      </c>
      <c r="D3">
        <v>6.2270000000808068E-4</v>
      </c>
      <c r="E3">
        <v>3.6642000000002284E-3</v>
      </c>
      <c r="F3" s="19">
        <v>365</v>
      </c>
      <c r="G3" s="19">
        <v>20</v>
      </c>
      <c r="H3" s="19">
        <v>0.02</v>
      </c>
      <c r="I3" s="30">
        <v>24</v>
      </c>
      <c r="J3" s="30">
        <v>24</v>
      </c>
      <c r="K3" t="s">
        <v>38</v>
      </c>
      <c r="L3">
        <v>0</v>
      </c>
      <c r="M3">
        <v>1E-4</v>
      </c>
      <c r="N3">
        <v>1</v>
      </c>
      <c r="O3" s="19">
        <v>1</v>
      </c>
      <c r="P3" s="19">
        <v>0.5</v>
      </c>
      <c r="Q3" s="19">
        <v>1</v>
      </c>
      <c r="R3" s="19">
        <v>0.4</v>
      </c>
      <c r="S3" s="19" t="s">
        <v>62</v>
      </c>
      <c r="T3" s="19">
        <v>0.6</v>
      </c>
      <c r="U3" s="19">
        <v>1</v>
      </c>
      <c r="V3" s="19">
        <v>0.3</v>
      </c>
      <c r="W3" s="30" t="b">
        <v>0</v>
      </c>
      <c r="X3" s="30">
        <v>2</v>
      </c>
      <c r="Y3" s="30">
        <v>3</v>
      </c>
      <c r="Z3" s="30" t="s">
        <v>63</v>
      </c>
      <c r="AA3" s="30" t="s">
        <v>71</v>
      </c>
      <c r="AB3" s="30">
        <v>2</v>
      </c>
      <c r="AC3" s="30">
        <v>3</v>
      </c>
      <c r="AD3" s="30">
        <v>2</v>
      </c>
      <c r="AE3" s="30">
        <v>3</v>
      </c>
      <c r="AF3" s="30" t="s">
        <v>65</v>
      </c>
      <c r="AG3" s="30" t="s">
        <v>72</v>
      </c>
      <c r="AH3" t="s">
        <v>39</v>
      </c>
      <c r="AI3" t="s">
        <v>40</v>
      </c>
      <c r="AJ3" t="s">
        <v>19</v>
      </c>
      <c r="AK3" t="s">
        <v>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368D9-D194-419E-AFC8-2FC7586E52C1}">
  <dimension ref="A1:R2"/>
  <sheetViews>
    <sheetView workbookViewId="0">
      <selection activeCell="C10" sqref="C10"/>
    </sheetView>
  </sheetViews>
  <sheetFormatPr defaultRowHeight="14.5" x14ac:dyDescent="0.35"/>
  <cols>
    <col min="1" max="1" width="11.1796875" bestFit="1" customWidth="1"/>
    <col min="2" max="2" width="6.81640625" bestFit="1" customWidth="1"/>
    <col min="3" max="3" width="24.453125" bestFit="1" customWidth="1"/>
    <col min="4" max="4" width="11.1796875" bestFit="1" customWidth="1"/>
    <col min="5" max="5" width="16.81640625" bestFit="1" customWidth="1"/>
    <col min="6" max="6" width="11.1796875" bestFit="1" customWidth="1"/>
    <col min="7" max="7" width="10" style="4" bestFit="1" customWidth="1"/>
    <col min="8" max="9" width="7.7265625" bestFit="1" customWidth="1"/>
    <col min="10" max="10" width="7.81640625" customWidth="1"/>
    <col min="11" max="11" width="16.81640625" bestFit="1" customWidth="1"/>
    <col min="12" max="12" width="16.54296875" bestFit="1" customWidth="1"/>
    <col min="13" max="13" width="18.26953125" bestFit="1" customWidth="1"/>
    <col min="14" max="14" width="18.7265625" customWidth="1"/>
    <col min="15" max="15" width="33.81640625" bestFit="1" customWidth="1"/>
    <col min="16" max="16" width="11.26953125" bestFit="1" customWidth="1"/>
    <col min="17" max="17" width="47.1796875" bestFit="1" customWidth="1"/>
    <col min="18" max="18" width="16.81640625" bestFit="1" customWidth="1"/>
  </cols>
  <sheetData>
    <row r="1" spans="1:18" s="10" customFormat="1" ht="58" x14ac:dyDescent="0.35">
      <c r="A1" s="7" t="s">
        <v>13</v>
      </c>
      <c r="B1" s="7" t="s">
        <v>21</v>
      </c>
      <c r="C1" s="7" t="s">
        <v>17</v>
      </c>
      <c r="D1" s="8" t="s">
        <v>22</v>
      </c>
      <c r="E1" s="8" t="s">
        <v>23</v>
      </c>
      <c r="F1" s="8" t="s">
        <v>24</v>
      </c>
      <c r="G1" s="7" t="s">
        <v>31</v>
      </c>
      <c r="H1" s="9" t="s">
        <v>73</v>
      </c>
      <c r="I1" s="15" t="s">
        <v>74</v>
      </c>
      <c r="J1" s="15" t="s">
        <v>75</v>
      </c>
      <c r="K1" s="14" t="s">
        <v>76</v>
      </c>
      <c r="L1" s="14" t="s">
        <v>77</v>
      </c>
      <c r="M1" s="14" t="s">
        <v>78</v>
      </c>
      <c r="N1" s="14" t="s">
        <v>79</v>
      </c>
      <c r="O1" s="14" t="s">
        <v>80</v>
      </c>
      <c r="P1" s="9" t="s">
        <v>81</v>
      </c>
      <c r="Q1" s="7" t="s">
        <v>33</v>
      </c>
      <c r="R1" s="11" t="s">
        <v>35</v>
      </c>
    </row>
    <row r="2" spans="1:18" s="2" customFormat="1" x14ac:dyDescent="0.35">
      <c r="A2" t="s">
        <v>18</v>
      </c>
      <c r="B2" t="s">
        <v>82</v>
      </c>
      <c r="C2" t="s">
        <v>83</v>
      </c>
      <c r="D2" s="6">
        <v>365</v>
      </c>
      <c r="E2" s="6">
        <v>20</v>
      </c>
      <c r="F2" s="6">
        <v>0.02</v>
      </c>
      <c r="G2" s="4" t="s">
        <v>84</v>
      </c>
      <c r="H2">
        <v>1</v>
      </c>
      <c r="I2" s="16">
        <v>4</v>
      </c>
      <c r="J2" s="16">
        <v>20</v>
      </c>
      <c r="K2" s="12">
        <v>0</v>
      </c>
      <c r="L2" s="12">
        <v>1E-4</v>
      </c>
      <c r="M2" s="12">
        <v>5</v>
      </c>
      <c r="N2" s="12">
        <v>9</v>
      </c>
      <c r="O2" s="12">
        <v>0.6</v>
      </c>
      <c r="P2" t="s">
        <v>85</v>
      </c>
      <c r="Q2" t="s">
        <v>86</v>
      </c>
      <c r="R2" s="2" t="s">
        <v>87</v>
      </c>
    </row>
  </sheetData>
  <pageMargins left="0.75" right="0.75" top="1" bottom="1" header="0.5" footer="0.5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C342B-B5A9-4D9B-95EC-96CDB406AB59}">
  <dimension ref="A1:L2"/>
  <sheetViews>
    <sheetView tabSelected="1" topLeftCell="E1" workbookViewId="0">
      <selection activeCell="H5" sqref="H5"/>
    </sheetView>
  </sheetViews>
  <sheetFormatPr defaultRowHeight="14.5" x14ac:dyDescent="0.35"/>
  <cols>
    <col min="1" max="1" width="11.453125" bestFit="1" customWidth="1"/>
    <col min="2" max="2" width="9.453125" bestFit="1" customWidth="1"/>
    <col min="3" max="3" width="22.453125" bestFit="1" customWidth="1"/>
    <col min="4" max="4" width="25.1796875" bestFit="1" customWidth="1"/>
    <col min="5" max="5" width="33.54296875" bestFit="1" customWidth="1"/>
    <col min="6" max="6" width="39.453125" bestFit="1" customWidth="1"/>
    <col min="7" max="7" width="30.453125" bestFit="1" customWidth="1"/>
    <col min="8" max="8" width="24.7265625" bestFit="1" customWidth="1"/>
    <col min="9" max="9" width="22.54296875" bestFit="1" customWidth="1"/>
    <col min="10" max="10" width="29.1796875" bestFit="1" customWidth="1"/>
    <col min="11" max="11" width="25.1796875" bestFit="1" customWidth="1"/>
    <col min="12" max="12" width="15.453125" bestFit="1" customWidth="1"/>
  </cols>
  <sheetData>
    <row r="1" spans="1:12" s="38" customFormat="1" x14ac:dyDescent="0.35">
      <c r="A1" s="37" t="s">
        <v>13</v>
      </c>
      <c r="B1" s="37" t="s">
        <v>21</v>
      </c>
      <c r="C1" s="37" t="s">
        <v>168</v>
      </c>
      <c r="D1" s="37" t="s">
        <v>169</v>
      </c>
      <c r="E1" s="37" t="s">
        <v>170</v>
      </c>
      <c r="F1" s="37" t="s">
        <v>184</v>
      </c>
      <c r="G1" s="37" t="s">
        <v>185</v>
      </c>
      <c r="H1" s="37" t="s">
        <v>171</v>
      </c>
      <c r="I1" s="37" t="s">
        <v>172</v>
      </c>
      <c r="J1" s="37" t="s">
        <v>173</v>
      </c>
      <c r="K1" s="37" t="s">
        <v>174</v>
      </c>
      <c r="L1" s="37" t="s">
        <v>17</v>
      </c>
    </row>
    <row r="2" spans="1:12" x14ac:dyDescent="0.35">
      <c r="A2" t="s">
        <v>18</v>
      </c>
      <c r="B2" t="s">
        <v>175</v>
      </c>
      <c r="C2" t="b">
        <v>1</v>
      </c>
      <c r="D2">
        <v>8760</v>
      </c>
      <c r="E2" t="s">
        <v>176</v>
      </c>
      <c r="F2" s="39">
        <v>2.5</v>
      </c>
      <c r="G2">
        <v>14</v>
      </c>
      <c r="H2">
        <v>95</v>
      </c>
      <c r="I2">
        <v>400</v>
      </c>
      <c r="J2">
        <v>10</v>
      </c>
      <c r="K2" t="s">
        <v>177</v>
      </c>
      <c r="L2" t="s">
        <v>178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F3"/>
  <sheetViews>
    <sheetView workbookViewId="0">
      <selection activeCell="V8" sqref="V8"/>
    </sheetView>
  </sheetViews>
  <sheetFormatPr defaultRowHeight="14.5" x14ac:dyDescent="0.35"/>
  <cols>
    <col min="1" max="1" width="11.1796875" bestFit="1" customWidth="1"/>
    <col min="2" max="2" width="15.54296875" bestFit="1" customWidth="1"/>
    <col min="3" max="3" width="6.81640625" bestFit="1" customWidth="1"/>
    <col min="4" max="4" width="8.26953125" bestFit="1" customWidth="1"/>
    <col min="5" max="5" width="15.7265625" bestFit="1" customWidth="1"/>
    <col min="6" max="6" width="13.7265625" customWidth="1"/>
    <col min="7" max="9" width="11.54296875" customWidth="1"/>
    <col min="10" max="10" width="8" bestFit="1" customWidth="1"/>
    <col min="11" max="11" width="8.26953125" bestFit="1" customWidth="1"/>
    <col min="12" max="12" width="15.26953125" customWidth="1"/>
    <col min="13" max="14" width="6.26953125" bestFit="1" customWidth="1"/>
    <col min="15" max="15" width="8" bestFit="1" customWidth="1"/>
    <col min="16" max="17" width="7.26953125" bestFit="1" customWidth="1"/>
    <col min="18" max="18" width="8" bestFit="1" customWidth="1"/>
    <col min="19" max="24" width="15.7265625" customWidth="1"/>
    <col min="25" max="30" width="13" customWidth="1"/>
    <col min="31" max="31" width="63.7265625" bestFit="1" customWidth="1"/>
    <col min="32" max="32" width="14" bestFit="1" customWidth="1"/>
  </cols>
  <sheetData>
    <row r="1" spans="1:32" s="2" customFormat="1" ht="87" x14ac:dyDescent="0.35">
      <c r="A1" s="7" t="s">
        <v>13</v>
      </c>
      <c r="B1" s="7" t="s">
        <v>17</v>
      </c>
      <c r="C1" s="7" t="s">
        <v>21</v>
      </c>
      <c r="D1" s="7" t="s">
        <v>31</v>
      </c>
      <c r="E1" s="7" t="s">
        <v>88</v>
      </c>
      <c r="F1" s="21" t="s">
        <v>89</v>
      </c>
      <c r="G1" s="22" t="s">
        <v>23</v>
      </c>
      <c r="H1" s="8" t="s">
        <v>22</v>
      </c>
      <c r="I1" s="8" t="s">
        <v>24</v>
      </c>
      <c r="J1" s="23" t="s">
        <v>90</v>
      </c>
      <c r="K1" s="23" t="s">
        <v>91</v>
      </c>
      <c r="L1" s="23" t="s">
        <v>92</v>
      </c>
      <c r="M1" s="24" t="s">
        <v>93</v>
      </c>
      <c r="N1" s="24" t="s">
        <v>94</v>
      </c>
      <c r="O1" s="24" t="s">
        <v>95</v>
      </c>
      <c r="P1" s="25" t="s">
        <v>96</v>
      </c>
      <c r="Q1" s="25" t="s">
        <v>97</v>
      </c>
      <c r="R1" s="25" t="s">
        <v>98</v>
      </c>
      <c r="S1" s="24" t="s">
        <v>99</v>
      </c>
      <c r="T1" s="24" t="s">
        <v>100</v>
      </c>
      <c r="U1" s="24" t="s">
        <v>101</v>
      </c>
      <c r="V1" s="25" t="s">
        <v>102</v>
      </c>
      <c r="W1" s="25" t="s">
        <v>103</v>
      </c>
      <c r="X1" s="25" t="s">
        <v>104</v>
      </c>
      <c r="Y1" s="26" t="s">
        <v>105</v>
      </c>
      <c r="Z1" s="26" t="s">
        <v>106</v>
      </c>
      <c r="AA1" s="26" t="s">
        <v>107</v>
      </c>
      <c r="AB1" s="26" t="s">
        <v>108</v>
      </c>
      <c r="AC1" s="26" t="s">
        <v>109</v>
      </c>
      <c r="AD1" s="26" t="s">
        <v>110</v>
      </c>
      <c r="AE1" s="7" t="s">
        <v>33</v>
      </c>
      <c r="AF1" s="7" t="s">
        <v>35</v>
      </c>
    </row>
    <row r="2" spans="1:32" x14ac:dyDescent="0.35">
      <c r="A2" t="s">
        <v>18</v>
      </c>
      <c r="B2" t="s">
        <v>111</v>
      </c>
      <c r="C2" s="27" t="s">
        <v>112</v>
      </c>
      <c r="D2" s="4" t="s">
        <v>113</v>
      </c>
      <c r="E2" t="s">
        <v>114</v>
      </c>
      <c r="F2" t="s">
        <v>115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8">
        <v>0</v>
      </c>
      <c r="N2" s="28">
        <v>365</v>
      </c>
      <c r="O2" s="28">
        <v>0.34166999999999997</v>
      </c>
      <c r="P2" s="29">
        <v>0</v>
      </c>
      <c r="Q2" s="29">
        <v>365</v>
      </c>
      <c r="R2" s="29">
        <v>0.14960999999999999</v>
      </c>
      <c r="S2" s="28">
        <v>3</v>
      </c>
      <c r="T2" s="28">
        <v>7</v>
      </c>
      <c r="U2" s="28">
        <v>0.34166999999999997</v>
      </c>
      <c r="V2" s="29">
        <v>7</v>
      </c>
      <c r="W2" s="29">
        <v>7</v>
      </c>
      <c r="X2" s="29">
        <v>0.14960999999999999</v>
      </c>
      <c r="Y2" s="30">
        <v>1</v>
      </c>
      <c r="Z2" s="30">
        <v>2</v>
      </c>
      <c r="AA2" s="30">
        <v>0.5</v>
      </c>
      <c r="AB2" s="31">
        <v>3000</v>
      </c>
      <c r="AC2" s="31">
        <v>10000</v>
      </c>
      <c r="AD2" s="31">
        <v>5000</v>
      </c>
      <c r="AE2" t="s">
        <v>116</v>
      </c>
      <c r="AF2" t="s">
        <v>117</v>
      </c>
    </row>
    <row r="3" spans="1:32" x14ac:dyDescent="0.35">
      <c r="A3" t="s">
        <v>18</v>
      </c>
      <c r="B3" t="s">
        <v>111</v>
      </c>
      <c r="C3" s="27" t="s">
        <v>118</v>
      </c>
      <c r="D3" s="4" t="s">
        <v>113</v>
      </c>
      <c r="E3" t="s">
        <v>119</v>
      </c>
      <c r="F3" t="s">
        <v>120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0</v>
      </c>
      <c r="M3" s="28">
        <v>0</v>
      </c>
      <c r="N3" s="28">
        <v>365</v>
      </c>
      <c r="O3" s="28">
        <v>0.34166999999999997</v>
      </c>
      <c r="P3" s="29">
        <v>0</v>
      </c>
      <c r="Q3" s="29">
        <v>365</v>
      </c>
      <c r="R3" s="29">
        <v>0.14960999999999999</v>
      </c>
      <c r="S3" s="28">
        <v>3</v>
      </c>
      <c r="T3" s="28">
        <v>7</v>
      </c>
      <c r="U3" s="28">
        <v>0.34166999999999997</v>
      </c>
      <c r="V3" s="29">
        <v>7</v>
      </c>
      <c r="W3" s="29">
        <v>7</v>
      </c>
      <c r="X3" s="29">
        <v>0.14960999999999999</v>
      </c>
      <c r="Y3" s="30">
        <v>1</v>
      </c>
      <c r="Z3" s="30">
        <v>2</v>
      </c>
      <c r="AA3" s="30">
        <v>0.5</v>
      </c>
      <c r="AB3" s="31">
        <v>3000</v>
      </c>
      <c r="AC3" s="31">
        <v>10000</v>
      </c>
      <c r="AD3" s="31">
        <v>5000</v>
      </c>
      <c r="AE3" t="s">
        <v>121</v>
      </c>
      <c r="AF3" t="s">
        <v>117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I18" sqref="I18"/>
    </sheetView>
  </sheetViews>
  <sheetFormatPr defaultRowHeight="14.5" x14ac:dyDescent="0.35"/>
  <cols>
    <col min="1" max="1" width="11.453125" bestFit="1" customWidth="1"/>
    <col min="2" max="2" width="7.1796875" bestFit="1" customWidth="1"/>
    <col min="3" max="5" width="13.453125" customWidth="1"/>
    <col min="6" max="16" width="14.26953125" customWidth="1"/>
    <col min="17" max="17" width="9.7265625" bestFit="1" customWidth="1"/>
    <col min="18" max="18" width="63.7265625" bestFit="1" customWidth="1"/>
    <col min="19" max="19" width="13.453125" bestFit="1" customWidth="1"/>
  </cols>
  <sheetData>
    <row r="1" spans="1:19" s="10" customFormat="1" ht="58" x14ac:dyDescent="0.35">
      <c r="A1" s="7" t="s">
        <v>13</v>
      </c>
      <c r="B1" s="7" t="s">
        <v>21</v>
      </c>
      <c r="C1" s="8" t="s">
        <v>23</v>
      </c>
      <c r="D1" s="8" t="s">
        <v>22</v>
      </c>
      <c r="E1" s="8" t="s">
        <v>24</v>
      </c>
      <c r="F1" s="33" t="s">
        <v>122</v>
      </c>
      <c r="G1" s="33" t="s">
        <v>123</v>
      </c>
      <c r="H1" s="33" t="s">
        <v>124</v>
      </c>
      <c r="I1" s="33" t="s">
        <v>125</v>
      </c>
      <c r="J1" s="14" t="s">
        <v>126</v>
      </c>
      <c r="K1" s="14" t="s">
        <v>127</v>
      </c>
      <c r="L1" s="14" t="s">
        <v>128</v>
      </c>
      <c r="M1" s="14" t="s">
        <v>129</v>
      </c>
      <c r="N1" s="35" t="s">
        <v>130</v>
      </c>
      <c r="O1" s="35" t="s">
        <v>131</v>
      </c>
      <c r="P1" s="35" t="s">
        <v>132</v>
      </c>
      <c r="Q1" s="7" t="s">
        <v>17</v>
      </c>
      <c r="R1" s="7" t="s">
        <v>33</v>
      </c>
      <c r="S1" s="11" t="s">
        <v>35</v>
      </c>
    </row>
    <row r="2" spans="1:19" x14ac:dyDescent="0.35">
      <c r="A2" t="s">
        <v>18</v>
      </c>
      <c r="B2" t="s">
        <v>133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134</v>
      </c>
      <c r="R2" t="s">
        <v>121</v>
      </c>
      <c r="S2" t="s">
        <v>135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O30" sqref="O30"/>
    </sheetView>
  </sheetViews>
  <sheetFormatPr defaultRowHeight="14.5" x14ac:dyDescent="0.35"/>
  <cols>
    <col min="1" max="1" width="11.453125" bestFit="1" customWidth="1"/>
    <col min="2" max="2" width="8.81640625" bestFit="1" customWidth="1"/>
    <col min="3" max="3" width="10.54296875" bestFit="1" customWidth="1"/>
  </cols>
  <sheetData>
    <row r="1" spans="1:3" x14ac:dyDescent="0.35">
      <c r="A1" s="11" t="s">
        <v>13</v>
      </c>
      <c r="B1" s="11" t="s">
        <v>21</v>
      </c>
      <c r="C1" s="11" t="s">
        <v>17</v>
      </c>
    </row>
    <row r="2" spans="1:3" x14ac:dyDescent="0.35">
      <c r="A2" t="s">
        <v>18</v>
      </c>
      <c r="B2" t="s">
        <v>136</v>
      </c>
      <c r="C2" t="s">
        <v>137</v>
      </c>
    </row>
    <row r="3" spans="1:3" x14ac:dyDescent="0.35">
      <c r="A3" t="s">
        <v>18</v>
      </c>
      <c r="B3" t="s">
        <v>138</v>
      </c>
      <c r="C3" t="s">
        <v>137</v>
      </c>
    </row>
    <row r="4" spans="1:3" x14ac:dyDescent="0.35">
      <c r="A4" t="s">
        <v>18</v>
      </c>
      <c r="B4" t="s">
        <v>139</v>
      </c>
      <c r="C4" t="s">
        <v>137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8"/>
  <sheetViews>
    <sheetView workbookViewId="0">
      <selection activeCell="A5" sqref="A5:XFD5"/>
    </sheetView>
  </sheetViews>
  <sheetFormatPr defaultRowHeight="14.5" x14ac:dyDescent="0.35"/>
  <cols>
    <col min="1" max="1" width="10.81640625" bestFit="1" customWidth="1"/>
    <col min="2" max="2" width="15.453125" bestFit="1" customWidth="1"/>
    <col min="3" max="3" width="18.7265625" bestFit="1" customWidth="1"/>
    <col min="4" max="4" width="13.81640625" bestFit="1" customWidth="1"/>
    <col min="5" max="5" width="21.453125" bestFit="1" customWidth="1"/>
    <col min="6" max="6" width="11.54296875" bestFit="1" customWidth="1"/>
    <col min="7" max="7" width="23.26953125" bestFit="1" customWidth="1"/>
  </cols>
  <sheetData>
    <row r="1" spans="1:7" x14ac:dyDescent="0.35">
      <c r="A1" s="1" t="s">
        <v>17</v>
      </c>
      <c r="B1" s="1" t="s">
        <v>140</v>
      </c>
      <c r="C1" s="1" t="s">
        <v>141</v>
      </c>
      <c r="D1" s="1" t="s">
        <v>142</v>
      </c>
      <c r="E1" s="1" t="s">
        <v>143</v>
      </c>
      <c r="F1" s="1" t="s">
        <v>144</v>
      </c>
      <c r="G1" s="1" t="s">
        <v>145</v>
      </c>
    </row>
    <row r="2" spans="1:7" x14ac:dyDescent="0.35">
      <c r="A2" t="s">
        <v>146</v>
      </c>
      <c r="B2" t="s">
        <v>18</v>
      </c>
      <c r="C2" t="s">
        <v>180</v>
      </c>
      <c r="D2" t="s">
        <v>18</v>
      </c>
      <c r="E2" t="s">
        <v>82</v>
      </c>
      <c r="F2" t="s">
        <v>147</v>
      </c>
    </row>
    <row r="3" spans="1:7" x14ac:dyDescent="0.35">
      <c r="A3" t="s">
        <v>146</v>
      </c>
      <c r="B3" t="s">
        <v>18</v>
      </c>
      <c r="C3" t="s">
        <v>180</v>
      </c>
      <c r="D3" t="s">
        <v>18</v>
      </c>
      <c r="E3" t="s">
        <v>82</v>
      </c>
      <c r="F3" t="s">
        <v>120</v>
      </c>
    </row>
    <row r="4" spans="1:7" x14ac:dyDescent="0.35">
      <c r="A4" t="s">
        <v>146</v>
      </c>
      <c r="B4" t="s">
        <v>18</v>
      </c>
      <c r="C4" t="s">
        <v>180</v>
      </c>
      <c r="D4" t="s">
        <v>18</v>
      </c>
      <c r="E4" t="s">
        <v>82</v>
      </c>
      <c r="F4" t="s">
        <v>115</v>
      </c>
    </row>
    <row r="8" spans="1:7" x14ac:dyDescent="0.35">
      <c r="A8" s="40" t="s">
        <v>146</v>
      </c>
      <c r="B8" s="40" t="s">
        <v>18</v>
      </c>
      <c r="C8" s="40" t="s">
        <v>82</v>
      </c>
      <c r="D8" s="40" t="s">
        <v>18</v>
      </c>
      <c r="E8" s="40" t="s">
        <v>175</v>
      </c>
      <c r="F8" s="40" t="s">
        <v>147</v>
      </c>
      <c r="G8" s="40" t="s">
        <v>179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4.5" x14ac:dyDescent="0.35"/>
  <cols>
    <col min="1" max="1" width="19.26953125" bestFit="1" customWidth="1"/>
    <col min="2" max="2" width="13.453125" bestFit="1" customWidth="1"/>
    <col min="3" max="3" width="11.1796875" bestFit="1" customWidth="1"/>
    <col min="4" max="4" width="86" customWidth="1"/>
  </cols>
  <sheetData>
    <row r="1" spans="1:3" x14ac:dyDescent="0.35">
      <c r="A1" t="s">
        <v>17</v>
      </c>
      <c r="B1" t="s">
        <v>148</v>
      </c>
      <c r="C1" t="s">
        <v>149</v>
      </c>
    </row>
    <row r="2" spans="1:3" x14ac:dyDescent="0.35">
      <c r="A2" t="s">
        <v>150</v>
      </c>
      <c r="B2" t="str">
        <f t="shared" ref="B2:B7" si="0">"FFDump"&amp;C2</f>
        <v>FFDump500</v>
      </c>
      <c r="C2">
        <v>500</v>
      </c>
    </row>
    <row r="3" spans="1:3" x14ac:dyDescent="0.35">
      <c r="A3" t="s">
        <v>150</v>
      </c>
      <c r="B3" t="str">
        <f t="shared" si="0"/>
        <v>FFDump600</v>
      </c>
      <c r="C3">
        <v>600</v>
      </c>
    </row>
    <row r="4" spans="1:3" x14ac:dyDescent="0.35">
      <c r="A4" t="s">
        <v>150</v>
      </c>
      <c r="B4" t="str">
        <f t="shared" si="0"/>
        <v>FFDump601</v>
      </c>
      <c r="C4">
        <v>601</v>
      </c>
    </row>
    <row r="5" spans="1:3" x14ac:dyDescent="0.35">
      <c r="A5" t="s">
        <v>150</v>
      </c>
      <c r="B5" t="str">
        <f t="shared" si="0"/>
        <v>FFDump590</v>
      </c>
      <c r="C5">
        <v>590</v>
      </c>
    </row>
    <row r="6" spans="1:3" x14ac:dyDescent="0.35">
      <c r="A6" t="s">
        <v>150</v>
      </c>
      <c r="B6" t="str">
        <f t="shared" si="0"/>
        <v>FFDump18065</v>
      </c>
      <c r="C6">
        <v>18065</v>
      </c>
    </row>
    <row r="7" spans="1:3" x14ac:dyDescent="0.35">
      <c r="A7" t="s">
        <v>150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6"/>
  <sheetViews>
    <sheetView workbookViewId="0">
      <selection activeCell="B7" sqref="B7"/>
    </sheetView>
  </sheetViews>
  <sheetFormatPr defaultRowHeight="14.5" x14ac:dyDescent="0.35"/>
  <cols>
    <col min="1" max="2" width="19.453125" bestFit="1" customWidth="1"/>
  </cols>
  <sheetData>
    <row r="1" spans="1:2" x14ac:dyDescent="0.35">
      <c r="A1" s="1" t="s">
        <v>151</v>
      </c>
      <c r="B1" s="1" t="s">
        <v>152</v>
      </c>
    </row>
    <row r="2" spans="1:2" x14ac:dyDescent="0.35">
      <c r="A2" t="s">
        <v>153</v>
      </c>
      <c r="B2" t="s">
        <v>153</v>
      </c>
    </row>
    <row r="3" spans="1:2" x14ac:dyDescent="0.35">
      <c r="A3" t="s">
        <v>183</v>
      </c>
      <c r="B3" t="s">
        <v>183</v>
      </c>
    </row>
    <row r="4" spans="1:2" x14ac:dyDescent="0.35">
      <c r="A4" t="s">
        <v>154</v>
      </c>
      <c r="B4" t="s">
        <v>154</v>
      </c>
    </row>
    <row r="5" spans="1:2" x14ac:dyDescent="0.35">
      <c r="A5" t="s">
        <v>159</v>
      </c>
      <c r="B5" t="s">
        <v>159</v>
      </c>
    </row>
    <row r="6" spans="1:2" x14ac:dyDescent="0.35">
      <c r="A6" t="s">
        <v>155</v>
      </c>
      <c r="B6" t="s">
        <v>155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4.5" x14ac:dyDescent="0.35"/>
  <cols>
    <col min="1" max="2" width="16.81640625" bestFit="1" customWidth="1"/>
  </cols>
  <sheetData>
    <row r="1" spans="1:2" x14ac:dyDescent="0.35">
      <c r="A1" s="1" t="s">
        <v>151</v>
      </c>
      <c r="B1" s="1" t="s">
        <v>152</v>
      </c>
    </row>
    <row r="2" spans="1:2" x14ac:dyDescent="0.35">
      <c r="A2" t="s">
        <v>153</v>
      </c>
      <c r="B2" t="s">
        <v>153</v>
      </c>
    </row>
    <row r="3" spans="1:2" x14ac:dyDescent="0.35">
      <c r="A3" t="s">
        <v>157</v>
      </c>
      <c r="B3" t="s">
        <v>157</v>
      </c>
    </row>
    <row r="4" spans="1:2" x14ac:dyDescent="0.35">
      <c r="A4" t="s">
        <v>158</v>
      </c>
      <c r="B4" t="s">
        <v>158</v>
      </c>
    </row>
    <row r="5" spans="1:2" x14ac:dyDescent="0.35">
      <c r="A5" t="s">
        <v>154</v>
      </c>
      <c r="B5" t="s">
        <v>154</v>
      </c>
    </row>
    <row r="6" spans="1:2" x14ac:dyDescent="0.35">
      <c r="A6" t="s">
        <v>159</v>
      </c>
      <c r="B6" t="s">
        <v>159</v>
      </c>
    </row>
    <row r="7" spans="1:2" x14ac:dyDescent="0.35">
      <c r="A7" t="s">
        <v>160</v>
      </c>
      <c r="B7" t="s">
        <v>160</v>
      </c>
    </row>
    <row r="8" spans="1:2" x14ac:dyDescent="0.35">
      <c r="A8" t="s">
        <v>161</v>
      </c>
      <c r="B8" t="s">
        <v>161</v>
      </c>
    </row>
    <row r="9" spans="1:2" x14ac:dyDescent="0.35">
      <c r="A9" t="s">
        <v>162</v>
      </c>
      <c r="B9" t="s">
        <v>162</v>
      </c>
    </row>
    <row r="10" spans="1:2" x14ac:dyDescent="0.35">
      <c r="A10" t="s">
        <v>163</v>
      </c>
      <c r="B10" t="s">
        <v>163</v>
      </c>
    </row>
    <row r="11" spans="1:2" x14ac:dyDescent="0.35">
      <c r="A11" t="s">
        <v>164</v>
      </c>
      <c r="B11" t="s">
        <v>164</v>
      </c>
    </row>
    <row r="12" spans="1:2" x14ac:dyDescent="0.35">
      <c r="A12" t="s">
        <v>165</v>
      </c>
      <c r="B12" t="s">
        <v>165</v>
      </c>
    </row>
    <row r="13" spans="1:2" x14ac:dyDescent="0.35">
      <c r="A13" t="s">
        <v>155</v>
      </c>
      <c r="B13" t="s">
        <v>155</v>
      </c>
    </row>
    <row r="14" spans="1:2" x14ac:dyDescent="0.35">
      <c r="A14" t="s">
        <v>156</v>
      </c>
      <c r="B14" t="s">
        <v>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Global Simulation Parameters</vt:lpstr>
      <vt:lpstr>Facilities</vt:lpstr>
      <vt:lpstr>Source</vt:lpstr>
      <vt:lpstr>Wells</vt:lpstr>
      <vt:lpstr>CyclingWells</vt:lpstr>
      <vt:lpstr>ContinuousWells</vt:lpstr>
      <vt:lpstr>Separators</vt:lpstr>
      <vt:lpstr>Dehydrators</vt:lpstr>
      <vt:lpstr>TankBattery</vt:lpstr>
      <vt:lpstr>Flares</vt:lpstr>
      <vt:lpstr>Probes</vt:lpstr>
      <vt:lpstr>FFLinks</vt:lpstr>
      <vt:lpstr>Debug</vt:lpstr>
      <vt:lpstr>Master Equipment</vt:lpstr>
      <vt:lpstr>MAll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Mdigo,Jacob</cp:lastModifiedBy>
  <cp:revision/>
  <dcterms:created xsi:type="dcterms:W3CDTF">2021-02-18T15:05:05Z</dcterms:created>
  <dcterms:modified xsi:type="dcterms:W3CDTF">2024-05-02T23:24:14Z</dcterms:modified>
  <cp:category/>
  <cp:contentStatus/>
</cp:coreProperties>
</file>