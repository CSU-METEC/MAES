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METEC\MEET2_MultiPhaseSeparator\input\Studies\MEET2\"/>
    </mc:Choice>
  </mc:AlternateContent>
  <xr:revisionPtr revIDLastSave="0" documentId="13_ncr:1_{0C000DEE-52E0-4156-8791-11A96B1CC856}" xr6:coauthVersionLast="47" xr6:coauthVersionMax="47" xr10:uidLastSave="{00000000-0000-0000-0000-000000000000}"/>
  <bookViews>
    <workbookView xWindow="-120" yWindow="-120" windowWidth="29040" windowHeight="15720" tabRatio="858" activeTab="5" xr2:uid="{00000000-000D-0000-FFFF-FFFF00000000}"/>
  </bookViews>
  <sheets>
    <sheet name="Global Simulation Parameters" sheetId="1" r:id="rId1"/>
    <sheet name="Facilities" sheetId="2" r:id="rId2"/>
    <sheet name="Source" sheetId="21" r:id="rId3"/>
    <sheet name="ContinuousWells" sheetId="23" r:id="rId4"/>
    <sheet name="CyclingWells" sheetId="25" r:id="rId5"/>
    <sheet name="Separators" sheetId="5" r:id="rId6"/>
    <sheet name="Compressor" sheetId="24" r:id="rId7"/>
    <sheet name="Probes" sheetId="22" r:id="rId8"/>
    <sheet name="FFLinks" sheetId="16" r:id="rId9"/>
    <sheet name="Debug" sheetId="17" r:id="rId10"/>
    <sheet name="Master Equipment" sheetId="14" r:id="rId11"/>
    <sheet name="MAll" sheetId="19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2" i="24" l="1"/>
  <c r="X2" i="24"/>
  <c r="U2" i="24"/>
  <c r="T2" i="24"/>
  <c r="B5" i="17" l="1"/>
  <c r="B4" i="17"/>
  <c r="B3" i="17"/>
  <c r="B2" i="17"/>
</calcChain>
</file>

<file path=xl/sharedStrings.xml><?xml version="1.0" encoding="utf-8"?>
<sst xmlns="http://schemas.openxmlformats.org/spreadsheetml/2006/main" count="363" uniqueCount="159">
  <si>
    <t>Simulation Start Date</t>
  </si>
  <si>
    <t>1/1/2021</t>
  </si>
  <si>
    <t>Simulation Duration [Days]</t>
  </si>
  <si>
    <t>Number of Monte Carlo Iterations</t>
  </si>
  <si>
    <t>Output Directory Template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</si>
  <si>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</si>
  <si>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</si>
  <si>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</si>
  <si>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</si>
  <si>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</si>
  <si>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</si>
  <si>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</si>
  <si>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</si>
  <si>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</si>
  <si>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</si>
  <si>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</si>
  <si>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</si>
  <si>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</si>
  <si>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</si>
  <si>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</si>
  <si>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</si>
  <si>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</si>
  <si>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</si>
  <si>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</si>
  <si>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</si>
  <si>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</si>
  <si>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</si>
  <si>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</si>
  <si>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</si>
  <si>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</si>
  <si>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Condensate</t>
  </si>
  <si>
    <t>FFLink.json</t>
  </si>
  <si>
    <t>Separators</t>
  </si>
  <si>
    <t>DumpID</t>
  </si>
  <si>
    <t>Dump Time</t>
  </si>
  <si>
    <t>FFDumpService.json</t>
  </si>
  <si>
    <t>Flow Tag</t>
  </si>
  <si>
    <t>Flow GC Tag</t>
  </si>
  <si>
    <t>Water</t>
  </si>
  <si>
    <t>Primary Water Takeoff Ratio</t>
  </si>
  <si>
    <t>Common Headers</t>
  </si>
  <si>
    <t>Component Leak Survey Frequency [days]</t>
  </si>
  <si>
    <t>Actuator Type [Gas, Electric, Air]</t>
  </si>
  <si>
    <t>Electric</t>
  </si>
  <si>
    <t>Flow Gas Composition</t>
  </si>
  <si>
    <t>FFLinks</t>
  </si>
  <si>
    <t>VRUs</t>
  </si>
  <si>
    <t>Flares</t>
  </si>
  <si>
    <t>facility_test</t>
  </si>
  <si>
    <t>S1</t>
  </si>
  <si>
    <t>Oil Production [bbl/day]</t>
  </si>
  <si>
    <t>Water Production [bbl/day]</t>
  </si>
  <si>
    <t>Gas Production [Mscf/day]</t>
  </si>
  <si>
    <t>W1</t>
  </si>
  <si>
    <t>ContinuousSeparator.json</t>
  </si>
  <si>
    <t>Probes</t>
  </si>
  <si>
    <t>Probe.json</t>
  </si>
  <si>
    <t>Vapor</t>
  </si>
  <si>
    <t>Stage1</t>
  </si>
  <si>
    <t>FixedSource.json</t>
  </si>
  <si>
    <t>input/Studies/MEET2/TestCompositionsFF.csv</t>
  </si>
  <si>
    <t>Activity / Emission Factor Name</t>
  </si>
  <si>
    <t>probe_c</t>
  </si>
  <si>
    <t>probe_w</t>
  </si>
  <si>
    <t>probe_g</t>
  </si>
  <si>
    <t>Di per month</t>
  </si>
  <si>
    <t>b Hyperbolic</t>
  </si>
  <si>
    <t>Age months</t>
  </si>
  <si>
    <t>Factor Tag</t>
  </si>
  <si>
    <t>Well.json</t>
  </si>
  <si>
    <t>W5</t>
  </si>
  <si>
    <t>Gas</t>
  </si>
  <si>
    <t>ContinuousWells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</si>
  <si>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</si>
  <si>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</si>
  <si>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</si>
  <si>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</si>
  <si>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</si>
  <si>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S2</t>
  </si>
  <si>
    <t>Stage2</t>
  </si>
  <si>
    <t>condensate_flow</t>
  </si>
  <si>
    <t>primary_water</t>
  </si>
  <si>
    <t>condensate_flash</t>
  </si>
  <si>
    <t>water_flash</t>
  </si>
  <si>
    <t>Default-LeakGc</t>
  </si>
  <si>
    <t>W6</t>
  </si>
  <si>
    <t>Leak GC Name</t>
  </si>
  <si>
    <t>Well-Condensate.Stage1-Flash</t>
  </si>
  <si>
    <t>Well-Condensate.Stage1-Condensate.Stage2-Flash</t>
  </si>
  <si>
    <t>wellpad</t>
  </si>
  <si>
    <t>wellpad_sep</t>
  </si>
  <si>
    <t>Leak Gas Composition</t>
  </si>
  <si>
    <t>Compressor Power [kW]</t>
  </si>
  <si>
    <t>Driver Type [Turbine, 4SLB, 2SLB, 4SRB, Electric]</t>
  </si>
  <si>
    <t>Compressor Efficiency</t>
  </si>
  <si>
    <t>Engine Efficiency</t>
  </si>
  <si>
    <t>Exhaust Factors</t>
  </si>
  <si>
    <t>Compressor Type [Centrifugal, Reciprocating, Other]</t>
  </si>
  <si>
    <t>Seal Type [Dry, Wet, Rod Packing]</t>
  </si>
  <si>
    <t>Starter Type [Gas, Electric, Air]</t>
  </si>
  <si>
    <t>Average Loading</t>
  </si>
  <si>
    <t>Std Loading</t>
  </si>
  <si>
    <t>Operating Fraction</t>
  </si>
  <si>
    <t>NOP Fraction of NOP/NOD</t>
  </si>
  <si>
    <t>Total Duration Lower Limit [hours]</t>
  </si>
  <si>
    <t>Total Duration Upper Limit [hours]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</si>
  <si>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</si>
  <si>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</si>
  <si>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</si>
  <si>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</si>
  <si>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</si>
  <si>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</t>
  </si>
  <si>
    <t>Blowdown Vent MTTRMax</t>
  </si>
  <si>
    <t>Blowdown Vent pLeak</t>
  </si>
  <si>
    <t>Single Unit Vents</t>
  </si>
  <si>
    <t>Common Single-Unit Vent Component Count</t>
  </si>
  <si>
    <t>Common Single-Unit Vent MTTR Min</t>
  </si>
  <si>
    <t>Common Single-Unit Vent MTTR Max</t>
  </si>
  <si>
    <t>Common Single-Unit Vent pLeak</t>
  </si>
  <si>
    <t>Seal Vent Component Count</t>
  </si>
  <si>
    <t>Seal Vent MTTR Min</t>
  </si>
  <si>
    <t>Seal Vent MTTR Max</t>
  </si>
  <si>
    <t>Seal Vent pLeak</t>
  </si>
  <si>
    <t>Seal Vent(Large Emitter) Component Count</t>
  </si>
  <si>
    <t>Seal Vent(Large Emitter) MTTR Min</t>
  </si>
  <si>
    <t>Seal Vent(Large Emitter) MTTR Max</t>
  </si>
  <si>
    <t>Seal Vent(Large Emitter) pLeak</t>
  </si>
  <si>
    <t>Compressor Starter Vent Component Count</t>
  </si>
  <si>
    <t>Compressor Starter Vent MTTR Min</t>
  </si>
  <si>
    <t>Compressor Starter Vent MTTR Max</t>
  </si>
  <si>
    <t>Compressor Starter Vent pLeak</t>
  </si>
  <si>
    <t>Common Single-unit Vent(Large Emitter) Component Count</t>
  </si>
  <si>
    <t>Common Single-unit Vent(Large Emitter) MTTR Min</t>
  </si>
  <si>
    <t>Common Single-unit Vent(Large Emitter) MTTR Max</t>
  </si>
  <si>
    <t>Common Single-unit Vent(Large Emitter) pLeak</t>
  </si>
  <si>
    <t>Combustion GC Name</t>
  </si>
  <si>
    <t>comp_1</t>
  </si>
  <si>
    <t>Air</t>
  </si>
  <si>
    <t>Centrifugal</t>
  </si>
  <si>
    <t>Dry</t>
  </si>
  <si>
    <t>Compressor.json</t>
  </si>
  <si>
    <t>ts_compressor</t>
  </si>
  <si>
    <t>condensate_gas_sales</t>
  </si>
  <si>
    <t>water_gas_sales</t>
  </si>
  <si>
    <t>gas_sales</t>
  </si>
  <si>
    <t>Compressor</t>
  </si>
  <si>
    <t>Load Condition File</t>
  </si>
  <si>
    <t>DestEff3366</t>
  </si>
  <si>
    <t>Total Liquids Produced [bbl/dump]</t>
  </si>
  <si>
    <t>Mean Production Time [s]</t>
  </si>
  <si>
    <t>Production Time Variation [s]</t>
  </si>
  <si>
    <t>Shut In Time Variation [percent]</t>
  </si>
  <si>
    <t>Simulation Start Stage [PreProduction, Production]</t>
  </si>
  <si>
    <t>CycledWell.json</t>
  </si>
  <si>
    <t>Production</t>
  </si>
  <si>
    <t>Facility Type</t>
  </si>
  <si>
    <t>Common</t>
  </si>
  <si>
    <t>Production\FlashFractions\FlashFractionsTest.csv</t>
  </si>
  <si>
    <t>4SLB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</si>
</sst>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3" borderId="0" xfId="0" applyFill="1"/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4" borderId="0" xfId="0" applyFill="1"/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6" borderId="0" xfId="0" applyFill="1"/>
    <xf numFmtId="0" fontId="1" fillId="4" borderId="1" xfId="0" applyFont="1" applyFill="1" applyBorder="1" applyAlignment="1">
      <alignment horizontal="center" vertical="center" wrapText="1"/>
    </xf>
    <xf numFmtId="0" fontId="0" fillId="7" borderId="0" xfId="0" applyFill="1"/>
    <xf numFmtId="0" fontId="2" fillId="0" borderId="1" xfId="0" applyFont="1" applyBorder="1" applyAlignment="1">
      <alignment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0" borderId="0" xfId="0" applyFill="1"/>
    <xf numFmtId="0" fontId="0" fillId="11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D28" sqref="D28"/>
    </sheetView>
  </sheetViews>
  <sheetFormatPr defaultRowHeight="15" x14ac:dyDescent="0.25"/>
  <cols>
    <col min="1" max="1" width="29.285156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50</v>
      </c>
    </row>
    <row r="3" spans="1:2" x14ac:dyDescent="0.25">
      <c r="A3" t="s">
        <v>3</v>
      </c>
      <c r="B3">
        <v>3</v>
      </c>
    </row>
    <row r="4" spans="1:2" x14ac:dyDescent="0.25">
      <c r="A4" t="s">
        <v>4</v>
      </c>
    </row>
    <row r="5" spans="1:2" x14ac:dyDescent="0.25">
      <c r="A5" t="s">
        <v>61</v>
      </c>
    </row>
    <row r="6" spans="1:2" x14ac:dyDescent="0.25">
      <c r="A6" t="s">
        <v>155</v>
      </c>
      <c r="B6" t="s">
        <v>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3" sqref="D3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5</v>
      </c>
      <c r="B1" s="3" t="s">
        <v>6</v>
      </c>
      <c r="C1" s="3" t="s">
        <v>7</v>
      </c>
      <c r="D1" s="3" t="s">
        <v>91</v>
      </c>
      <c r="E1" s="3" t="s">
        <v>8</v>
      </c>
    </row>
    <row r="2" spans="1:5" x14ac:dyDescent="0.25">
      <c r="A2" t="s">
        <v>48</v>
      </c>
      <c r="B2" s="5">
        <v>0</v>
      </c>
      <c r="C2" s="5">
        <v>0</v>
      </c>
      <c r="D2" t="s">
        <v>60</v>
      </c>
      <c r="E2" t="s">
        <v>22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K2"/>
  <sheetViews>
    <sheetView workbookViewId="0">
      <selection activeCell="F11" sqref="F11"/>
    </sheetView>
  </sheetViews>
  <sheetFormatPr defaultColWidth="15.85546875" defaultRowHeight="15" x14ac:dyDescent="0.25"/>
  <cols>
    <col min="1" max="1" width="11.42578125" bestFit="1" customWidth="1"/>
    <col min="2" max="2" width="16.85546875" bestFit="1" customWidth="1"/>
    <col min="3" max="3" width="7.140625" bestFit="1" customWidth="1"/>
    <col min="4" max="4" width="8.28515625" bestFit="1" customWidth="1"/>
    <col min="5" max="5" width="9.85546875" bestFit="1" customWidth="1"/>
    <col min="6" max="6" width="13.85546875" bestFit="1" customWidth="1"/>
    <col min="7" max="7" width="10.7109375" bestFit="1" customWidth="1"/>
    <col min="8" max="8" width="14.5703125" bestFit="1" customWidth="1"/>
    <col min="9" max="9" width="8.7109375" bestFit="1" customWidth="1"/>
    <col min="10" max="10" width="19.85546875" bestFit="1" customWidth="1"/>
    <col min="11" max="11" width="59.42578125" bestFit="1" customWidth="1"/>
  </cols>
  <sheetData>
    <row r="1" spans="1:11" s="10" customFormat="1" ht="45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3" t="s">
        <v>50</v>
      </c>
      <c r="G1" s="13" t="s">
        <v>51</v>
      </c>
      <c r="H1" s="12" t="s">
        <v>52</v>
      </c>
      <c r="I1" s="7" t="s">
        <v>36</v>
      </c>
      <c r="J1" s="7" t="s">
        <v>86</v>
      </c>
      <c r="K1" s="7" t="s">
        <v>44</v>
      </c>
    </row>
    <row r="2" spans="1:11" x14ac:dyDescent="0.25">
      <c r="A2" t="s">
        <v>48</v>
      </c>
      <c r="B2" t="s">
        <v>59</v>
      </c>
      <c r="C2" t="s">
        <v>53</v>
      </c>
      <c r="D2">
        <v>0</v>
      </c>
      <c r="E2">
        <v>0</v>
      </c>
      <c r="F2" s="11">
        <v>24</v>
      </c>
      <c r="G2" s="11">
        <v>24</v>
      </c>
      <c r="H2">
        <v>500</v>
      </c>
      <c r="I2" t="s">
        <v>12</v>
      </c>
      <c r="J2" t="s">
        <v>84</v>
      </c>
      <c r="K2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098-0951-4968-9A28-3F4F92441A0D}">
  <dimension ref="A1:R3"/>
  <sheetViews>
    <sheetView workbookViewId="0">
      <selection activeCell="L38" sqref="L38"/>
    </sheetView>
  </sheetViews>
  <sheetFormatPr defaultRowHeight="15" x14ac:dyDescent="0.25"/>
  <cols>
    <col min="1" max="1" width="11.42578125" bestFit="1" customWidth="1"/>
    <col min="2" max="2" width="9.42578125" bestFit="1" customWidth="1"/>
    <col min="3" max="3" width="7.140625" bestFit="1" customWidth="1"/>
    <col min="4" max="5" width="10" bestFit="1" customWidth="1"/>
    <col min="6" max="10" width="11.85546875" customWidth="1"/>
    <col min="11" max="11" width="13.140625" customWidth="1"/>
    <col min="12" max="12" width="6.85546875" bestFit="1" customWidth="1"/>
    <col min="13" max="13" width="11" customWidth="1"/>
    <col min="14" max="14" width="7.7109375" bestFit="1" customWidth="1"/>
    <col min="15" max="15" width="8.7109375" bestFit="1" customWidth="1"/>
    <col min="16" max="16" width="19.85546875" bestFit="1" customWidth="1"/>
    <col min="17" max="17" width="42.85546875" bestFit="1" customWidth="1"/>
    <col min="18" max="18" width="8.140625" bestFit="1" customWidth="1"/>
  </cols>
  <sheetData>
    <row r="1" spans="1:18" s="10" customFormat="1" ht="6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5" t="s">
        <v>41</v>
      </c>
      <c r="G1" s="15" t="s">
        <v>10</v>
      </c>
      <c r="H1" s="15" t="s">
        <v>11</v>
      </c>
      <c r="I1" s="16" t="s">
        <v>50</v>
      </c>
      <c r="J1" s="16" t="s">
        <v>51</v>
      </c>
      <c r="K1" s="7" t="s">
        <v>42</v>
      </c>
      <c r="L1" s="7" t="s">
        <v>65</v>
      </c>
      <c r="M1" s="7" t="s">
        <v>66</v>
      </c>
      <c r="N1" s="7" t="s">
        <v>67</v>
      </c>
      <c r="O1" s="7" t="s">
        <v>36</v>
      </c>
      <c r="P1" s="7" t="s">
        <v>86</v>
      </c>
      <c r="Q1" s="7" t="s">
        <v>44</v>
      </c>
      <c r="R1" s="7" t="s">
        <v>68</v>
      </c>
    </row>
    <row r="2" spans="1:18" x14ac:dyDescent="0.25">
      <c r="A2" t="s">
        <v>48</v>
      </c>
      <c r="B2" t="s">
        <v>69</v>
      </c>
      <c r="C2" t="s">
        <v>70</v>
      </c>
      <c r="D2">
        <v>6.2270000000808068E-4</v>
      </c>
      <c r="E2">
        <v>3.6642000000002284E-3</v>
      </c>
      <c r="F2" s="17">
        <v>365</v>
      </c>
      <c r="G2" s="17">
        <v>20</v>
      </c>
      <c r="H2" s="17">
        <v>0.02</v>
      </c>
      <c r="I2" s="18">
        <v>48</v>
      </c>
      <c r="J2" s="18">
        <v>24</v>
      </c>
      <c r="K2" t="s">
        <v>71</v>
      </c>
      <c r="L2">
        <v>0</v>
      </c>
      <c r="M2">
        <v>1E-4</v>
      </c>
      <c r="N2">
        <v>1</v>
      </c>
      <c r="O2" t="s">
        <v>12</v>
      </c>
      <c r="P2" t="s">
        <v>84</v>
      </c>
      <c r="Q2" t="s">
        <v>60</v>
      </c>
      <c r="R2" t="s">
        <v>89</v>
      </c>
    </row>
    <row r="3" spans="1:18" x14ac:dyDescent="0.25">
      <c r="A3" t="s">
        <v>48</v>
      </c>
      <c r="B3" t="s">
        <v>69</v>
      </c>
      <c r="C3" t="s">
        <v>85</v>
      </c>
      <c r="D3">
        <v>6.2270000000808068E-4</v>
      </c>
      <c r="E3">
        <v>3.6642000000002284E-3</v>
      </c>
      <c r="F3" s="17">
        <v>365</v>
      </c>
      <c r="G3" s="17">
        <v>20</v>
      </c>
      <c r="H3" s="17">
        <v>0.02</v>
      </c>
      <c r="I3" s="18">
        <v>48</v>
      </c>
      <c r="J3" s="18">
        <v>24</v>
      </c>
      <c r="K3" t="s">
        <v>71</v>
      </c>
      <c r="L3">
        <v>0</v>
      </c>
      <c r="M3">
        <v>1E-4</v>
      </c>
      <c r="N3">
        <v>1</v>
      </c>
      <c r="O3" t="s">
        <v>12</v>
      </c>
      <c r="P3" t="s">
        <v>84</v>
      </c>
      <c r="Q3" t="s">
        <v>60</v>
      </c>
      <c r="R3" t="s">
        <v>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A01F5-2B57-415D-90E1-A17671A28EFE}">
  <dimension ref="A1:T3"/>
  <sheetViews>
    <sheetView topLeftCell="B1" workbookViewId="0">
      <selection activeCell="Q1" sqref="Q1"/>
    </sheetView>
  </sheetViews>
  <sheetFormatPr defaultRowHeight="15" x14ac:dyDescent="0.25"/>
  <cols>
    <col min="1" max="1" width="11.42578125" bestFit="1" customWidth="1"/>
    <col min="2" max="2" width="15.42578125" bestFit="1" customWidth="1"/>
    <col min="3" max="3" width="7.140625" bestFit="1" customWidth="1"/>
    <col min="4" max="4" width="8.28515625" bestFit="1" customWidth="1"/>
    <col min="5" max="5" width="10" customWidth="1"/>
    <col min="6" max="6" width="8.7109375" bestFit="1" customWidth="1"/>
    <col min="7" max="8" width="8.42578125" bestFit="1" customWidth="1"/>
    <col min="9" max="10" width="8.5703125" bestFit="1" customWidth="1"/>
    <col min="11" max="11" width="8.28515625" bestFit="1" customWidth="1"/>
    <col min="12" max="12" width="8.42578125" bestFit="1" customWidth="1"/>
    <col min="15" max="15" width="8.5703125" bestFit="1" customWidth="1"/>
    <col min="16" max="16" width="10.7109375" bestFit="1" customWidth="1"/>
    <col min="17" max="17" width="8.7109375" bestFit="1" customWidth="1"/>
    <col min="18" max="18" width="14.5703125" bestFit="1" customWidth="1"/>
    <col min="19" max="19" width="39.7109375" bestFit="1" customWidth="1"/>
    <col min="20" max="20" width="8.140625" bestFit="1" customWidth="1"/>
  </cols>
  <sheetData>
    <row r="1" spans="1:20" s="10" customFormat="1" ht="90" x14ac:dyDescent="0.25">
      <c r="A1" s="7" t="s">
        <v>5</v>
      </c>
      <c r="B1" s="7" t="s">
        <v>8</v>
      </c>
      <c r="C1" s="7" t="s">
        <v>9</v>
      </c>
      <c r="D1" s="7" t="s">
        <v>6</v>
      </c>
      <c r="E1" s="7" t="s">
        <v>7</v>
      </c>
      <c r="F1" s="15" t="s">
        <v>41</v>
      </c>
      <c r="G1" s="15" t="s">
        <v>10</v>
      </c>
      <c r="H1" s="15" t="s">
        <v>11</v>
      </c>
      <c r="I1" s="13" t="s">
        <v>50</v>
      </c>
      <c r="J1" s="13" t="s">
        <v>51</v>
      </c>
      <c r="K1" s="26" t="s">
        <v>148</v>
      </c>
      <c r="L1" s="26" t="s">
        <v>149</v>
      </c>
      <c r="M1" s="26" t="s">
        <v>150</v>
      </c>
      <c r="N1" s="26" t="s">
        <v>151</v>
      </c>
      <c r="O1" s="7" t="s">
        <v>42</v>
      </c>
      <c r="P1" s="27" t="s">
        <v>152</v>
      </c>
      <c r="Q1" s="7" t="s">
        <v>36</v>
      </c>
      <c r="R1" s="7" t="s">
        <v>86</v>
      </c>
      <c r="S1" s="7" t="s">
        <v>44</v>
      </c>
      <c r="T1" s="7" t="s">
        <v>68</v>
      </c>
    </row>
    <row r="2" spans="1:20" x14ac:dyDescent="0.25">
      <c r="A2" t="s">
        <v>48</v>
      </c>
      <c r="B2" t="s">
        <v>153</v>
      </c>
      <c r="C2" t="s">
        <v>70</v>
      </c>
      <c r="D2">
        <v>0</v>
      </c>
      <c r="E2">
        <v>0</v>
      </c>
      <c r="F2" s="17">
        <v>365</v>
      </c>
      <c r="G2" s="17">
        <v>10</v>
      </c>
      <c r="H2" s="17">
        <v>0.02</v>
      </c>
      <c r="I2" s="11">
        <v>15</v>
      </c>
      <c r="J2" s="11">
        <v>13</v>
      </c>
      <c r="K2" s="30">
        <v>1</v>
      </c>
      <c r="L2" s="30">
        <v>60</v>
      </c>
      <c r="M2" s="30">
        <v>10</v>
      </c>
      <c r="N2" s="30">
        <v>10</v>
      </c>
      <c r="O2" t="s">
        <v>71</v>
      </c>
      <c r="P2" s="17" t="s">
        <v>154</v>
      </c>
      <c r="Q2" t="s">
        <v>12</v>
      </c>
      <c r="R2" t="s">
        <v>84</v>
      </c>
      <c r="S2" t="s">
        <v>60</v>
      </c>
      <c r="T2" t="s">
        <v>89</v>
      </c>
    </row>
    <row r="3" spans="1:20" x14ac:dyDescent="0.25">
      <c r="A3" t="s">
        <v>48</v>
      </c>
      <c r="B3" t="s">
        <v>153</v>
      </c>
      <c r="C3" t="s">
        <v>85</v>
      </c>
      <c r="D3">
        <v>0</v>
      </c>
      <c r="E3">
        <v>0</v>
      </c>
      <c r="F3" s="17">
        <v>365</v>
      </c>
      <c r="G3" s="17">
        <v>10</v>
      </c>
      <c r="H3" s="17">
        <v>0.02</v>
      </c>
      <c r="I3" s="11">
        <v>15</v>
      </c>
      <c r="J3" s="11">
        <v>13</v>
      </c>
      <c r="K3" s="30">
        <v>1</v>
      </c>
      <c r="L3" s="30">
        <v>60</v>
      </c>
      <c r="M3" s="30">
        <v>10</v>
      </c>
      <c r="N3" s="30">
        <v>10</v>
      </c>
      <c r="O3" t="s">
        <v>71</v>
      </c>
      <c r="P3" s="17" t="s">
        <v>154</v>
      </c>
      <c r="Q3" t="s">
        <v>12</v>
      </c>
      <c r="R3" t="s">
        <v>84</v>
      </c>
      <c r="S3" t="s">
        <v>60</v>
      </c>
      <c r="T3" t="s">
        <v>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"/>
  <sheetViews>
    <sheetView tabSelected="1" topLeftCell="D1" workbookViewId="0">
      <selection activeCell="I8" sqref="I8"/>
    </sheetView>
  </sheetViews>
  <sheetFormatPr defaultRowHeight="15" x14ac:dyDescent="0.25"/>
  <cols>
    <col min="1" max="1" width="11.42578125" bestFit="1" customWidth="1"/>
    <col min="2" max="2" width="13.42578125" customWidth="1"/>
    <col min="3" max="3" width="11.42578125" bestFit="1" customWidth="1"/>
    <col min="4" max="4" width="35.5703125" bestFit="1" customWidth="1"/>
    <col min="5" max="5" width="11.42578125" bestFit="1" customWidth="1"/>
    <col min="6" max="7" width="13.28515625" customWidth="1"/>
    <col min="8" max="8" width="17.140625" customWidth="1"/>
    <col min="9" max="9" width="17.28515625" customWidth="1"/>
    <col min="10" max="10" width="34.85546875" bestFit="1" customWidth="1"/>
    <col min="11" max="11" width="10.28515625" style="4" customWidth="1"/>
    <col min="12" max="12" width="7.85546875" bestFit="1" customWidth="1"/>
    <col min="13" max="13" width="11.7109375" bestFit="1" customWidth="1"/>
    <col min="14" max="14" width="24.42578125" bestFit="1" customWidth="1"/>
    <col min="15" max="15" width="47.140625" bestFit="1" customWidth="1"/>
    <col min="16" max="16" width="12.28515625" bestFit="1" customWidth="1"/>
  </cols>
  <sheetData>
    <row r="1" spans="1:16" s="10" customFormat="1" ht="60" x14ac:dyDescent="0.25">
      <c r="A1" s="7" t="s">
        <v>5</v>
      </c>
      <c r="B1" s="7" t="s">
        <v>9</v>
      </c>
      <c r="C1" s="8" t="s">
        <v>41</v>
      </c>
      <c r="D1" s="8" t="s">
        <v>10</v>
      </c>
      <c r="E1" s="8" t="s">
        <v>11</v>
      </c>
      <c r="F1" s="19" t="s">
        <v>73</v>
      </c>
      <c r="G1" s="19" t="s">
        <v>74</v>
      </c>
      <c r="H1" s="19" t="s">
        <v>75</v>
      </c>
      <c r="I1" s="19" t="s">
        <v>76</v>
      </c>
      <c r="J1" s="19" t="s">
        <v>77</v>
      </c>
      <c r="K1" s="7" t="s">
        <v>42</v>
      </c>
      <c r="L1" s="9" t="s">
        <v>39</v>
      </c>
      <c r="M1" s="9" t="s">
        <v>37</v>
      </c>
      <c r="N1" s="7" t="s">
        <v>8</v>
      </c>
      <c r="O1" s="7" t="s">
        <v>86</v>
      </c>
      <c r="P1" s="21" t="s">
        <v>68</v>
      </c>
    </row>
    <row r="2" spans="1:16" s="2" customFormat="1" x14ac:dyDescent="0.25">
      <c r="A2" t="s">
        <v>48</v>
      </c>
      <c r="B2" t="s">
        <v>49</v>
      </c>
      <c r="C2" s="6">
        <v>365</v>
      </c>
      <c r="D2" s="6">
        <v>20</v>
      </c>
      <c r="E2" s="6">
        <v>0.02</v>
      </c>
      <c r="F2" s="11">
        <v>1</v>
      </c>
      <c r="G2" s="11">
        <v>0.5</v>
      </c>
      <c r="H2" s="11">
        <v>1</v>
      </c>
      <c r="I2" s="11">
        <v>5</v>
      </c>
      <c r="J2" s="11" t="s">
        <v>157</v>
      </c>
      <c r="K2" s="4" t="s">
        <v>43</v>
      </c>
      <c r="L2">
        <v>1</v>
      </c>
      <c r="M2" t="s">
        <v>58</v>
      </c>
      <c r="N2" t="s">
        <v>54</v>
      </c>
      <c r="O2" t="s">
        <v>87</v>
      </c>
      <c r="P2" s="2" t="s">
        <v>90</v>
      </c>
    </row>
    <row r="3" spans="1:16" s="2" customFormat="1" x14ac:dyDescent="0.25">
      <c r="A3" t="s">
        <v>48</v>
      </c>
      <c r="B3" t="s">
        <v>78</v>
      </c>
      <c r="C3" s="6">
        <v>365</v>
      </c>
      <c r="D3" s="6">
        <v>20</v>
      </c>
      <c r="E3" s="6">
        <v>0.02</v>
      </c>
      <c r="F3" s="11">
        <v>1</v>
      </c>
      <c r="G3" s="11">
        <v>0.5</v>
      </c>
      <c r="H3" s="11">
        <v>1</v>
      </c>
      <c r="I3" s="11">
        <v>7</v>
      </c>
      <c r="J3" s="11">
        <v>0.3</v>
      </c>
      <c r="K3" s="4" t="s">
        <v>43</v>
      </c>
      <c r="L3">
        <v>1</v>
      </c>
      <c r="M3" t="s">
        <v>79</v>
      </c>
      <c r="N3" t="s">
        <v>54</v>
      </c>
      <c r="O3" t="s">
        <v>88</v>
      </c>
      <c r="P3" s="2" t="s">
        <v>90</v>
      </c>
    </row>
  </sheetData>
  <phoneticPr fontId="3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257D6-87A9-43CB-8034-16F48916B9C3}">
  <dimension ref="A1:BB2"/>
  <sheetViews>
    <sheetView workbookViewId="0">
      <selection activeCell="J18" sqref="J18"/>
    </sheetView>
  </sheetViews>
  <sheetFormatPr defaultRowHeight="15" x14ac:dyDescent="0.25"/>
  <cols>
    <col min="1" max="1" width="10.5703125" bestFit="1" customWidth="1"/>
    <col min="2" max="2" width="7.5703125" bestFit="1" customWidth="1"/>
    <col min="3" max="3" width="8.7109375" bestFit="1" customWidth="1"/>
    <col min="4" max="5" width="8.28515625" bestFit="1" customWidth="1"/>
    <col min="6" max="6" width="8.42578125" bestFit="1" customWidth="1"/>
    <col min="7" max="7" width="8.28515625" bestFit="1" customWidth="1"/>
    <col min="8" max="8" width="8.7109375" bestFit="1" customWidth="1"/>
    <col min="9" max="9" width="11.42578125" customWidth="1"/>
    <col min="10" max="10" width="57.5703125" bestFit="1" customWidth="1"/>
    <col min="11" max="11" width="16.42578125" customWidth="1"/>
    <col min="12" max="12" width="12.42578125" customWidth="1"/>
    <col min="13" max="13" width="7.5703125" bestFit="1" customWidth="1"/>
    <col min="14" max="14" width="8.7109375" customWidth="1"/>
    <col min="15" max="15" width="7.7109375" bestFit="1" customWidth="1"/>
    <col min="16" max="16" width="11.85546875" customWidth="1"/>
    <col min="17" max="21" width="8.28515625" bestFit="1" customWidth="1"/>
    <col min="22" max="27" width="8.7109375" bestFit="1" customWidth="1"/>
    <col min="28" max="28" width="6" bestFit="1" customWidth="1"/>
    <col min="29" max="31" width="8.7109375" bestFit="1" customWidth="1"/>
    <col min="32" max="32" width="9" bestFit="1" customWidth="1"/>
    <col min="37" max="39" width="8.28515625" bestFit="1" customWidth="1"/>
    <col min="40" max="40" width="10" bestFit="1" customWidth="1"/>
    <col min="41" max="44" width="8.42578125" bestFit="1" customWidth="1"/>
    <col min="45" max="47" width="8.7109375" bestFit="1" customWidth="1"/>
    <col min="48" max="48" width="10" bestFit="1" customWidth="1"/>
    <col min="49" max="49" width="14.7109375" bestFit="1" customWidth="1"/>
    <col min="50" max="51" width="13.7109375" bestFit="1" customWidth="1"/>
    <col min="52" max="52" width="13.140625" bestFit="1" customWidth="1"/>
  </cols>
  <sheetData>
    <row r="1" spans="1:54" s="29" customFormat="1" ht="135" x14ac:dyDescent="0.25">
      <c r="A1" s="7" t="s">
        <v>5</v>
      </c>
      <c r="B1" s="7" t="s">
        <v>9</v>
      </c>
      <c r="C1" s="8" t="s">
        <v>41</v>
      </c>
      <c r="D1" s="8" t="s">
        <v>10</v>
      </c>
      <c r="E1" s="8" t="s">
        <v>11</v>
      </c>
      <c r="F1" s="7" t="s">
        <v>92</v>
      </c>
      <c r="G1" s="19" t="s">
        <v>42</v>
      </c>
      <c r="H1" s="22" t="s">
        <v>93</v>
      </c>
      <c r="I1" s="12" t="s">
        <v>94</v>
      </c>
      <c r="J1" s="12" t="s">
        <v>146</v>
      </c>
      <c r="K1" s="7" t="s">
        <v>95</v>
      </c>
      <c r="L1" s="7" t="s">
        <v>96</v>
      </c>
      <c r="M1" s="23" t="s">
        <v>97</v>
      </c>
      <c r="N1" s="13" t="s">
        <v>98</v>
      </c>
      <c r="O1" s="16" t="s">
        <v>99</v>
      </c>
      <c r="P1" s="22" t="s">
        <v>100</v>
      </c>
      <c r="Q1" s="22" t="s">
        <v>101</v>
      </c>
      <c r="R1" s="7" t="s">
        <v>102</v>
      </c>
      <c r="S1" s="7" t="s">
        <v>103</v>
      </c>
      <c r="T1" s="24" t="s">
        <v>104</v>
      </c>
      <c r="U1" s="24" t="s">
        <v>105</v>
      </c>
      <c r="V1" s="7" t="s">
        <v>106</v>
      </c>
      <c r="W1" s="7" t="s">
        <v>107</v>
      </c>
      <c r="X1" s="7" t="s">
        <v>108</v>
      </c>
      <c r="Y1" s="7" t="s">
        <v>109</v>
      </c>
      <c r="Z1" s="25" t="s">
        <v>110</v>
      </c>
      <c r="AA1" s="25" t="s">
        <v>111</v>
      </c>
      <c r="AB1" s="25" t="s">
        <v>112</v>
      </c>
      <c r="AC1" s="25" t="s">
        <v>113</v>
      </c>
      <c r="AD1" s="12" t="s">
        <v>114</v>
      </c>
      <c r="AE1" s="26" t="s">
        <v>115</v>
      </c>
      <c r="AF1" s="25" t="s">
        <v>116</v>
      </c>
      <c r="AG1" s="26" t="s">
        <v>117</v>
      </c>
      <c r="AH1" s="25" t="s">
        <v>118</v>
      </c>
      <c r="AI1" s="27" t="s">
        <v>119</v>
      </c>
      <c r="AJ1" s="27" t="s">
        <v>120</v>
      </c>
      <c r="AK1" s="27" t="s">
        <v>121</v>
      </c>
      <c r="AL1" s="27" t="s">
        <v>122</v>
      </c>
      <c r="AM1" s="25" t="s">
        <v>123</v>
      </c>
      <c r="AN1" s="25" t="s">
        <v>124</v>
      </c>
      <c r="AO1" s="25" t="s">
        <v>125</v>
      </c>
      <c r="AP1" s="25" t="s">
        <v>126</v>
      </c>
      <c r="AQ1" s="28" t="s">
        <v>127</v>
      </c>
      <c r="AR1" s="28" t="s">
        <v>128</v>
      </c>
      <c r="AS1" s="28" t="s">
        <v>129</v>
      </c>
      <c r="AT1" s="28" t="s">
        <v>130</v>
      </c>
      <c r="AU1" s="27" t="s">
        <v>131</v>
      </c>
      <c r="AV1" s="27" t="s">
        <v>132</v>
      </c>
      <c r="AW1" s="27" t="s">
        <v>133</v>
      </c>
      <c r="AX1" s="27" t="s">
        <v>134</v>
      </c>
      <c r="AY1" s="7" t="s">
        <v>8</v>
      </c>
      <c r="AZ1" s="7" t="s">
        <v>86</v>
      </c>
      <c r="BA1" s="7" t="s">
        <v>135</v>
      </c>
      <c r="BB1" s="7" t="s">
        <v>68</v>
      </c>
    </row>
    <row r="2" spans="1:54" x14ac:dyDescent="0.25">
      <c r="A2" t="s">
        <v>48</v>
      </c>
      <c r="B2" t="s">
        <v>136</v>
      </c>
      <c r="C2" s="6">
        <v>365</v>
      </c>
      <c r="D2" s="6">
        <v>750</v>
      </c>
      <c r="E2" s="6">
        <v>1E-10</v>
      </c>
      <c r="F2">
        <v>1000</v>
      </c>
      <c r="G2" s="4" t="s">
        <v>137</v>
      </c>
      <c r="H2" t="s">
        <v>158</v>
      </c>
      <c r="I2">
        <v>0.7</v>
      </c>
      <c r="K2">
        <v>0.35</v>
      </c>
      <c r="L2" t="s">
        <v>147</v>
      </c>
      <c r="M2" t="s">
        <v>138</v>
      </c>
      <c r="N2" s="4" t="s">
        <v>139</v>
      </c>
      <c r="O2" s="4" t="s">
        <v>71</v>
      </c>
      <c r="P2">
        <v>0.9</v>
      </c>
      <c r="Q2">
        <v>0.05</v>
      </c>
      <c r="R2">
        <v>0.4</v>
      </c>
      <c r="S2">
        <v>0.6</v>
      </c>
      <c r="T2">
        <f>24*21</f>
        <v>504</v>
      </c>
      <c r="U2">
        <f>24*7*6</f>
        <v>1008</v>
      </c>
      <c r="V2">
        <v>300</v>
      </c>
      <c r="W2">
        <v>500</v>
      </c>
      <c r="X2">
        <f t="shared" ref="X2" si="0">60*15</f>
        <v>900</v>
      </c>
      <c r="Y2">
        <f t="shared" ref="Y2" si="1">ROUND(150*600/14.7,0)</f>
        <v>6122</v>
      </c>
      <c r="Z2" s="30">
        <v>1</v>
      </c>
      <c r="AA2" s="30">
        <v>0</v>
      </c>
      <c r="AB2" s="30">
        <v>4380</v>
      </c>
      <c r="AC2" s="30">
        <v>0.21634999999999999</v>
      </c>
      <c r="AD2" t="b">
        <v>1</v>
      </c>
      <c r="AE2" s="30">
        <v>1</v>
      </c>
      <c r="AF2" s="30">
        <v>0</v>
      </c>
      <c r="AG2" s="30">
        <v>4380</v>
      </c>
      <c r="AH2" s="30">
        <v>8.3141000000000007E-2</v>
      </c>
      <c r="AI2" s="17">
        <v>1</v>
      </c>
      <c r="AJ2" s="17">
        <v>0</v>
      </c>
      <c r="AK2" s="17">
        <v>4380</v>
      </c>
      <c r="AL2" s="17">
        <v>0.47815999999999997</v>
      </c>
      <c r="AM2" s="30">
        <v>1</v>
      </c>
      <c r="AN2" s="30">
        <v>0</v>
      </c>
      <c r="AO2" s="30">
        <v>2920</v>
      </c>
      <c r="AP2" s="30">
        <v>2.6738E-3</v>
      </c>
      <c r="AQ2" s="31">
        <v>1</v>
      </c>
      <c r="AR2" s="31">
        <v>0</v>
      </c>
      <c r="AS2" s="31">
        <v>4380</v>
      </c>
      <c r="AT2" s="31">
        <v>0.11268</v>
      </c>
      <c r="AU2" s="17">
        <v>1</v>
      </c>
      <c r="AV2" s="17">
        <v>0</v>
      </c>
      <c r="AW2" s="17">
        <v>2920</v>
      </c>
      <c r="AX2" s="17">
        <v>2.7855000000000002E-3</v>
      </c>
      <c r="AY2" t="s">
        <v>140</v>
      </c>
      <c r="AZ2" t="s">
        <v>84</v>
      </c>
      <c r="BA2" t="s">
        <v>84</v>
      </c>
      <c r="BB2" t="s">
        <v>141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4"/>
  <sheetViews>
    <sheetView workbookViewId="0">
      <selection activeCell="H4" sqref="H4"/>
    </sheetView>
  </sheetViews>
  <sheetFormatPr defaultRowHeight="15" x14ac:dyDescent="0.25"/>
  <cols>
    <col min="1" max="1" width="10.5703125" bestFit="1" customWidth="1"/>
    <col min="2" max="2" width="11.42578125" bestFit="1" customWidth="1"/>
    <col min="3" max="3" width="8.85546875" bestFit="1" customWidth="1"/>
  </cols>
  <sheetData>
    <row r="1" spans="1:3" x14ac:dyDescent="0.25">
      <c r="A1" s="14" t="s">
        <v>8</v>
      </c>
      <c r="B1" s="7" t="s">
        <v>5</v>
      </c>
      <c r="C1" s="7" t="s">
        <v>9</v>
      </c>
    </row>
    <row r="2" spans="1:3" x14ac:dyDescent="0.25">
      <c r="A2" t="s">
        <v>56</v>
      </c>
      <c r="B2" t="s">
        <v>48</v>
      </c>
      <c r="C2" t="s">
        <v>62</v>
      </c>
    </row>
    <row r="3" spans="1:3" x14ac:dyDescent="0.25">
      <c r="A3" t="s">
        <v>56</v>
      </c>
      <c r="B3" t="s">
        <v>48</v>
      </c>
      <c r="C3" t="s">
        <v>63</v>
      </c>
    </row>
    <row r="4" spans="1:3" x14ac:dyDescent="0.25">
      <c r="A4" t="s">
        <v>56</v>
      </c>
      <c r="B4" t="s">
        <v>48</v>
      </c>
      <c r="C4" t="s">
        <v>64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19"/>
  <sheetViews>
    <sheetView workbookViewId="0">
      <selection activeCell="G8" sqref="G8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710937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3.85546875" bestFit="1" customWidth="1"/>
  </cols>
  <sheetData>
    <row r="1" spans="1:7" x14ac:dyDescent="0.25">
      <c r="A1" s="1" t="s">
        <v>8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</row>
    <row r="2" spans="1:7" x14ac:dyDescent="0.25">
      <c r="A2" t="s">
        <v>31</v>
      </c>
      <c r="B2" t="s">
        <v>48</v>
      </c>
      <c r="C2" t="s">
        <v>70</v>
      </c>
      <c r="D2" t="s">
        <v>48</v>
      </c>
      <c r="E2" t="s">
        <v>49</v>
      </c>
      <c r="F2" t="s">
        <v>30</v>
      </c>
    </row>
    <row r="3" spans="1:7" x14ac:dyDescent="0.25">
      <c r="A3" t="s">
        <v>31</v>
      </c>
      <c r="B3" t="s">
        <v>48</v>
      </c>
      <c r="C3" t="s">
        <v>70</v>
      </c>
      <c r="D3" t="s">
        <v>48</v>
      </c>
      <c r="E3" t="s">
        <v>49</v>
      </c>
      <c r="F3" t="s">
        <v>38</v>
      </c>
    </row>
    <row r="4" spans="1:7" x14ac:dyDescent="0.25">
      <c r="A4" t="s">
        <v>31</v>
      </c>
      <c r="B4" t="s">
        <v>48</v>
      </c>
      <c r="C4" t="s">
        <v>85</v>
      </c>
      <c r="D4" t="s">
        <v>48</v>
      </c>
      <c r="E4" t="s">
        <v>49</v>
      </c>
      <c r="F4" t="s">
        <v>30</v>
      </c>
    </row>
    <row r="5" spans="1:7" x14ac:dyDescent="0.25">
      <c r="A5" t="s">
        <v>31</v>
      </c>
      <c r="B5" t="s">
        <v>48</v>
      </c>
      <c r="C5" t="s">
        <v>85</v>
      </c>
      <c r="D5" t="s">
        <v>48</v>
      </c>
      <c r="E5" t="s">
        <v>49</v>
      </c>
      <c r="F5" t="s">
        <v>38</v>
      </c>
    </row>
    <row r="7" spans="1:7" x14ac:dyDescent="0.25">
      <c r="A7" s="20" t="s">
        <v>31</v>
      </c>
      <c r="B7" s="20" t="s">
        <v>48</v>
      </c>
      <c r="C7" s="20" t="s">
        <v>49</v>
      </c>
      <c r="D7" s="20" t="s">
        <v>48</v>
      </c>
      <c r="E7" s="20" t="s">
        <v>78</v>
      </c>
      <c r="F7" s="20" t="s">
        <v>30</v>
      </c>
      <c r="G7" s="20" t="s">
        <v>80</v>
      </c>
    </row>
    <row r="8" spans="1:7" x14ac:dyDescent="0.25">
      <c r="A8" s="20" t="s">
        <v>31</v>
      </c>
      <c r="B8" s="20" t="s">
        <v>48</v>
      </c>
      <c r="C8" s="20" t="s">
        <v>49</v>
      </c>
      <c r="D8" s="20" t="s">
        <v>48</v>
      </c>
      <c r="E8" s="20" t="s">
        <v>78</v>
      </c>
      <c r="F8" s="20" t="s">
        <v>38</v>
      </c>
      <c r="G8" s="20" t="s">
        <v>81</v>
      </c>
    </row>
    <row r="9" spans="1:7" x14ac:dyDescent="0.25">
      <c r="A9" s="20" t="s">
        <v>31</v>
      </c>
      <c r="B9" s="20" t="s">
        <v>48</v>
      </c>
      <c r="C9" s="20" t="s">
        <v>49</v>
      </c>
      <c r="D9" s="20" t="s">
        <v>48</v>
      </c>
      <c r="E9" s="20" t="s">
        <v>78</v>
      </c>
      <c r="F9" s="20" t="s">
        <v>57</v>
      </c>
      <c r="G9" s="20" t="s">
        <v>82</v>
      </c>
    </row>
    <row r="10" spans="1:7" x14ac:dyDescent="0.25">
      <c r="A10" s="20" t="s">
        <v>31</v>
      </c>
      <c r="B10" s="20" t="s">
        <v>48</v>
      </c>
      <c r="C10" s="20" t="s">
        <v>49</v>
      </c>
      <c r="D10" s="20" t="s">
        <v>48</v>
      </c>
      <c r="E10" s="20" t="s">
        <v>78</v>
      </c>
      <c r="F10" s="20" t="s">
        <v>57</v>
      </c>
      <c r="G10" s="20" t="s">
        <v>83</v>
      </c>
    </row>
    <row r="12" spans="1:7" x14ac:dyDescent="0.25">
      <c r="A12" t="s">
        <v>31</v>
      </c>
      <c r="B12" t="s">
        <v>48</v>
      </c>
      <c r="C12" t="s">
        <v>78</v>
      </c>
      <c r="D12" t="s">
        <v>48</v>
      </c>
      <c r="E12" t="s">
        <v>62</v>
      </c>
      <c r="F12" t="s">
        <v>30</v>
      </c>
    </row>
    <row r="13" spans="1:7" x14ac:dyDescent="0.25">
      <c r="A13" t="s">
        <v>31</v>
      </c>
      <c r="B13" t="s">
        <v>48</v>
      </c>
      <c r="C13" t="s">
        <v>78</v>
      </c>
      <c r="D13" t="s">
        <v>48</v>
      </c>
      <c r="E13" t="s">
        <v>63</v>
      </c>
      <c r="F13" t="s">
        <v>38</v>
      </c>
    </row>
    <row r="15" spans="1:7" x14ac:dyDescent="0.25">
      <c r="A15" s="20" t="s">
        <v>31</v>
      </c>
      <c r="B15" s="20" t="s">
        <v>48</v>
      </c>
      <c r="C15" s="20" t="s">
        <v>78</v>
      </c>
      <c r="D15" s="20" t="s">
        <v>48</v>
      </c>
      <c r="E15" s="20" t="s">
        <v>136</v>
      </c>
      <c r="F15" s="20" t="s">
        <v>57</v>
      </c>
      <c r="G15" s="20" t="s">
        <v>142</v>
      </c>
    </row>
    <row r="16" spans="1:7" x14ac:dyDescent="0.25">
      <c r="A16" s="20" t="s">
        <v>31</v>
      </c>
      <c r="B16" s="20" t="s">
        <v>48</v>
      </c>
      <c r="C16" s="20" t="s">
        <v>78</v>
      </c>
      <c r="D16" s="20" t="s">
        <v>48</v>
      </c>
      <c r="E16" s="20" t="s">
        <v>136</v>
      </c>
      <c r="F16" s="20" t="s">
        <v>57</v>
      </c>
      <c r="G16" s="20" t="s">
        <v>143</v>
      </c>
    </row>
    <row r="17" spans="1:7" x14ac:dyDescent="0.25">
      <c r="A17" s="20" t="s">
        <v>31</v>
      </c>
      <c r="B17" s="20" t="s">
        <v>48</v>
      </c>
      <c r="C17" s="20" t="s">
        <v>78</v>
      </c>
      <c r="D17" s="20" t="s">
        <v>48</v>
      </c>
      <c r="E17" s="20" t="s">
        <v>136</v>
      </c>
      <c r="F17" s="20" t="s">
        <v>57</v>
      </c>
      <c r="G17" s="20" t="s">
        <v>144</v>
      </c>
    </row>
    <row r="19" spans="1:7" x14ac:dyDescent="0.25">
      <c r="A19" t="s">
        <v>31</v>
      </c>
      <c r="B19" t="s">
        <v>48</v>
      </c>
      <c r="C19" t="s">
        <v>136</v>
      </c>
      <c r="D19" t="s">
        <v>48</v>
      </c>
      <c r="E19" t="s">
        <v>64</v>
      </c>
      <c r="F19" t="s">
        <v>57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5"/>
  <sheetViews>
    <sheetView workbookViewId="0">
      <selection activeCell="D16" sqref="D16"/>
    </sheetView>
  </sheetViews>
  <sheetFormatPr defaultRowHeight="15" x14ac:dyDescent="0.25"/>
  <cols>
    <col min="1" max="1" width="19.28515625" bestFit="1" customWidth="1"/>
    <col min="2" max="2" width="12.28515625" bestFit="1" customWidth="1"/>
    <col min="3" max="3" width="11.140625" bestFit="1" customWidth="1"/>
    <col min="4" max="4" width="86" customWidth="1"/>
  </cols>
  <sheetData>
    <row r="1" spans="1:3" x14ac:dyDescent="0.25">
      <c r="A1" t="s">
        <v>8</v>
      </c>
      <c r="B1" t="s">
        <v>33</v>
      </c>
      <c r="C1" t="s">
        <v>34</v>
      </c>
    </row>
    <row r="2" spans="1:3" x14ac:dyDescent="0.25">
      <c r="A2" t="s">
        <v>35</v>
      </c>
      <c r="B2" t="str">
        <f>"FFDump"&amp;C2</f>
        <v>FFDump500</v>
      </c>
      <c r="C2">
        <v>500</v>
      </c>
    </row>
    <row r="3" spans="1:3" x14ac:dyDescent="0.25">
      <c r="A3" t="s">
        <v>35</v>
      </c>
      <c r="B3" t="str">
        <f>"FFDump"&amp;C3</f>
        <v>FFDump600</v>
      </c>
      <c r="C3">
        <v>600</v>
      </c>
    </row>
    <row r="4" spans="1:3" x14ac:dyDescent="0.25">
      <c r="A4" t="s">
        <v>35</v>
      </c>
      <c r="B4" t="str">
        <f>"FFDump"&amp;C4</f>
        <v>FFDump601</v>
      </c>
      <c r="C4">
        <v>601</v>
      </c>
    </row>
    <row r="5" spans="1:3" x14ac:dyDescent="0.25">
      <c r="A5" t="s">
        <v>35</v>
      </c>
      <c r="B5" t="str">
        <f>"FFDump"&amp;C5</f>
        <v>FFDump590</v>
      </c>
      <c r="C5">
        <v>590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8"/>
  <sheetViews>
    <sheetView workbookViewId="0">
      <selection activeCell="E32" sqref="E32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72</v>
      </c>
      <c r="B3" t="s">
        <v>72</v>
      </c>
    </row>
    <row r="4" spans="1:2" x14ac:dyDescent="0.25">
      <c r="A4" t="s">
        <v>32</v>
      </c>
      <c r="B4" t="s">
        <v>32</v>
      </c>
    </row>
    <row r="5" spans="1:2" x14ac:dyDescent="0.25">
      <c r="A5" t="s">
        <v>145</v>
      </c>
      <c r="B5" t="s">
        <v>145</v>
      </c>
    </row>
    <row r="6" spans="1:2" x14ac:dyDescent="0.25">
      <c r="A6" t="s">
        <v>55</v>
      </c>
      <c r="B6" t="s">
        <v>55</v>
      </c>
    </row>
    <row r="7" spans="1:2" x14ac:dyDescent="0.25">
      <c r="A7" t="s">
        <v>45</v>
      </c>
      <c r="B7" t="s">
        <v>45</v>
      </c>
    </row>
    <row r="8" spans="1:2" x14ac:dyDescent="0.25">
      <c r="A8" t="s">
        <v>23</v>
      </c>
      <c r="B8" t="s">
        <v>23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A13" activeCellId="1" sqref="A5:XFD5 A13:XFD13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15</v>
      </c>
      <c r="B1" s="1" t="s">
        <v>16</v>
      </c>
    </row>
    <row r="2" spans="1:2" x14ac:dyDescent="0.25">
      <c r="A2" t="s">
        <v>17</v>
      </c>
      <c r="B2" t="s">
        <v>17</v>
      </c>
    </row>
    <row r="3" spans="1:2" x14ac:dyDescent="0.25">
      <c r="A3" t="s">
        <v>18</v>
      </c>
      <c r="B3" t="s">
        <v>18</v>
      </c>
    </row>
    <row r="4" spans="1:2" x14ac:dyDescent="0.25">
      <c r="A4" t="s">
        <v>40</v>
      </c>
      <c r="B4" t="s">
        <v>40</v>
      </c>
    </row>
    <row r="5" spans="1:2" x14ac:dyDescent="0.25">
      <c r="A5" t="s">
        <v>32</v>
      </c>
      <c r="B5" t="s">
        <v>32</v>
      </c>
    </row>
    <row r="6" spans="1:2" x14ac:dyDescent="0.25">
      <c r="A6" t="s">
        <v>19</v>
      </c>
      <c r="B6" t="s">
        <v>19</v>
      </c>
    </row>
    <row r="7" spans="1:2" x14ac:dyDescent="0.25">
      <c r="A7" t="s">
        <v>20</v>
      </c>
      <c r="B7" t="s">
        <v>20</v>
      </c>
    </row>
    <row r="8" spans="1:2" x14ac:dyDescent="0.25">
      <c r="A8" t="s">
        <v>13</v>
      </c>
      <c r="B8" t="s">
        <v>13</v>
      </c>
    </row>
    <row r="9" spans="1:2" x14ac:dyDescent="0.25">
      <c r="A9" t="s">
        <v>14</v>
      </c>
      <c r="B9" t="s">
        <v>14</v>
      </c>
    </row>
    <row r="10" spans="1:2" x14ac:dyDescent="0.25">
      <c r="A10" t="s">
        <v>46</v>
      </c>
      <c r="B10" t="s">
        <v>46</v>
      </c>
    </row>
    <row r="11" spans="1:2" x14ac:dyDescent="0.25">
      <c r="A11" t="s">
        <v>47</v>
      </c>
      <c r="B11" t="s">
        <v>47</v>
      </c>
    </row>
    <row r="12" spans="1:2" x14ac:dyDescent="0.25">
      <c r="A12" t="s">
        <v>21</v>
      </c>
      <c r="B12" t="s">
        <v>21</v>
      </c>
    </row>
    <row r="13" spans="1:2" x14ac:dyDescent="0.25">
      <c r="A13" t="s">
        <v>45</v>
      </c>
      <c r="B13" t="s">
        <v>45</v>
      </c>
    </row>
    <row r="14" spans="1:2" x14ac:dyDescent="0.25">
      <c r="A14" t="s">
        <v>23</v>
      </c>
      <c r="B14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Global Simulation Parameters</vt:lpstr>
      <vt:lpstr>Facilities</vt:lpstr>
      <vt:lpstr>Source</vt:lpstr>
      <vt:lpstr>ContinuousWells</vt:lpstr>
      <vt:lpstr>CyclingWells</vt:lpstr>
      <vt:lpstr>Separators</vt:lpstr>
      <vt:lpstr>Compressor</vt:lpstr>
      <vt:lpstr>Probes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2023-11-07T21:11:20Z</dcterms:modified>
</cp:coreProperties>
</file>