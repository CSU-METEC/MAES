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METEC\MEET2\input\Studies\MEET2\"/>
    </mc:Choice>
  </mc:AlternateContent>
  <xr:revisionPtr revIDLastSave="0" documentId="13_ncr:1_{5542963A-FC06-40C7-9029-A9186321DBFF}" xr6:coauthVersionLast="47" xr6:coauthVersionMax="47" xr10:uidLastSave="{00000000-0000-0000-0000-000000000000}"/>
  <bookViews>
    <workbookView xWindow="-120" yWindow="-120" windowWidth="29040" windowHeight="15720" tabRatio="937" xr2:uid="{00000000-000D-0000-FFFF-FFFF00000000}"/>
  </bookViews>
  <sheets>
    <sheet name="Global Simulation Parameters" sheetId="1" r:id="rId1"/>
    <sheet name="Facilities" sheetId="2" r:id="rId2"/>
    <sheet name="Source" sheetId="21" r:id="rId3"/>
    <sheet name="Compressors" sheetId="5" r:id="rId4"/>
    <sheet name="Probes" sheetId="22" r:id="rId5"/>
    <sheet name="FFLinks" sheetId="16" r:id="rId6"/>
    <sheet name="Debug" sheetId="17" r:id="rId7"/>
    <sheet name="Master Equipment" sheetId="14" r:id="rId8"/>
    <sheet name="MAll" sheetId="1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2" i="5" l="1"/>
  <c r="T2" i="5"/>
  <c r="W2" i="5"/>
  <c r="X2" i="5"/>
  <c r="S3" i="5"/>
  <c r="T3" i="5"/>
  <c r="W3" i="5"/>
  <c r="X3" i="5"/>
  <c r="S4" i="5"/>
  <c r="T4" i="5"/>
  <c r="W4" i="5"/>
  <c r="X4" i="5"/>
  <c r="S5" i="5"/>
  <c r="T5" i="5"/>
  <c r="W5" i="5"/>
  <c r="X5" i="5"/>
  <c r="S6" i="5"/>
  <c r="T6" i="5"/>
  <c r="W6" i="5"/>
  <c r="X6" i="5"/>
  <c r="B5" i="17" l="1"/>
  <c r="B4" i="17"/>
  <c r="B3" i="17"/>
  <c r="B2" i="17"/>
</calcChain>
</file>

<file path=xl/sharedStrings.xml><?xml version="1.0" encoding="utf-8"?>
<sst xmlns="http://schemas.openxmlformats.org/spreadsheetml/2006/main" count="243" uniqueCount="120">
  <si>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</si>
  <si>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</si>
  <si>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</si>
  <si>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</si>
  <si>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</si>
  <si>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</si>
  <si>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</si>
  <si>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</si>
  <si>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</si>
  <si>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</si>
  <si>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</si>
  <si>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</si>
  <si>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</si>
  <si>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</si>
  <si>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</si>
  <si>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</si>
  <si>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</si>
  <si>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</si>
  <si>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</si>
  <si>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</si>
  <si>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</si>
  <si>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</si>
  <si>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</si>
  <si>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</si>
  <si>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</si>
  <si>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</si>
  <si>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</si>
  <si>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</si>
  <si>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</si>
  <si>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</si>
  <si>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FFLink.json</t>
  </si>
  <si>
    <t>Separators</t>
  </si>
  <si>
    <t>DumpID</t>
  </si>
  <si>
    <t>Dump Time</t>
  </si>
  <si>
    <t>FFDumpService.json</t>
  </si>
  <si>
    <t>Flow Tag</t>
  </si>
  <si>
    <t>Common Headers</t>
  </si>
  <si>
    <t>Component Leak Survey Frequency [days]</t>
  </si>
  <si>
    <t>Flow Gas Composition</t>
  </si>
  <si>
    <t>FFLinks</t>
  </si>
  <si>
    <t>VRUs</t>
  </si>
  <si>
    <t>Flares</t>
  </si>
  <si>
    <t>facility_test</t>
  </si>
  <si>
    <t>Oil Production [bbl/day]</t>
  </si>
  <si>
    <t>Water Production [bbl/day]</t>
  </si>
  <si>
    <t>Gas Production [Mscf/day]</t>
  </si>
  <si>
    <t>W1</t>
  </si>
  <si>
    <t>Probes</t>
  </si>
  <si>
    <t>Probe.json</t>
  </si>
  <si>
    <t>probe1</t>
  </si>
  <si>
    <t>Vapor</t>
  </si>
  <si>
    <t>Source</t>
  </si>
  <si>
    <t>FixedSource.json</t>
  </si>
  <si>
    <t>Activity / Emission Factor Name</t>
  </si>
  <si>
    <t>Average Loading</t>
  </si>
  <si>
    <t>Std Loading</t>
  </si>
  <si>
    <t>Operating Fraction</t>
  </si>
  <si>
    <t>NOP Fraction of NOP/NOD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</si>
  <si>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</si>
  <si>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</si>
  <si>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</si>
  <si>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</si>
  <si>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</si>
  <si>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</t>
  </si>
  <si>
    <t>Blowdown Vent MTTRMax</t>
  </si>
  <si>
    <t>Blowdown Vent pLeak</t>
  </si>
  <si>
    <t>Single Unit Vents</t>
  </si>
  <si>
    <t>Common Single-Unit Vent Component Count</t>
  </si>
  <si>
    <t>Common Single-Unit Vent MTTR Min</t>
  </si>
  <si>
    <t>Common Single-Unit Vent MTTR Max</t>
  </si>
  <si>
    <t>Common Single-Unit Vent pLeak</t>
  </si>
  <si>
    <t>Seal Vent Component Count</t>
  </si>
  <si>
    <t>Seal Vent MTTR Min</t>
  </si>
  <si>
    <t>Seal Vent MTTR Max</t>
  </si>
  <si>
    <t>Seal Vent pLeak</t>
  </si>
  <si>
    <t>Seal Vent(Large Emitter) Component Count</t>
  </si>
  <si>
    <t>Seal Vent(Large Emitter) MTTR Min</t>
  </si>
  <si>
    <t>Seal Vent(Large Emitter) MTTR Max</t>
  </si>
  <si>
    <t>Seal Vent(Large Emitter) pLeak</t>
  </si>
  <si>
    <t>Compressor Starter Vent Component Count</t>
  </si>
  <si>
    <t>Compressor Starter Vent MTTR Min</t>
  </si>
  <si>
    <t>Compressor Starter Vent MTTR Max</t>
  </si>
  <si>
    <t>Compressor Starter Vent pLeak</t>
  </si>
  <si>
    <t>Common Single-unit Vent(Large Emitter) Component Count</t>
  </si>
  <si>
    <t>Common Single-unit Vent(Large Emitter) MTTR Min</t>
  </si>
  <si>
    <t>Common Single-unit Vent(Large Emitter) MTTR Max</t>
  </si>
  <si>
    <t>Common Single-unit Vent(Large Emitter) pLeak</t>
  </si>
  <si>
    <t>Combustion GC Name</t>
  </si>
  <si>
    <t>Factor Tag</t>
  </si>
  <si>
    <t>comp_1</t>
  </si>
  <si>
    <t>Air</t>
  </si>
  <si>
    <t>Turbine</t>
  </si>
  <si>
    <t>Centrifugal</t>
  </si>
  <si>
    <t>Dry</t>
  </si>
  <si>
    <t>Compressor.json</t>
  </si>
  <si>
    <t>Default-LeakGc</t>
  </si>
  <si>
    <t>Engine Efficiency</t>
  </si>
  <si>
    <t>Exhaust Factors</t>
  </si>
  <si>
    <t>Compressor Power [kW]</t>
  </si>
  <si>
    <t>Actuator Type [Gas, Electric, Air]</t>
  </si>
  <si>
    <t>Seal Type [Dry, Wet, Rod Packing]</t>
  </si>
  <si>
    <t>Driver Type [Turbine, 4SLB, 2SLB, 4SRB, Electric]</t>
  </si>
  <si>
    <t>Compressor Type [Centrifugal, Reciprocating, Other]</t>
  </si>
  <si>
    <t>Starter Type [Gas, Electric, Air]</t>
  </si>
  <si>
    <t>Total Duration Lower Limit [hours]</t>
  </si>
  <si>
    <t>Total Duration Upper Limit [hours]</t>
  </si>
  <si>
    <t>comp_2</t>
  </si>
  <si>
    <t>DestEffWithConstruction</t>
  </si>
  <si>
    <t>comp_3</t>
  </si>
  <si>
    <t>comp_4</t>
  </si>
  <si>
    <t>comp_5</t>
  </si>
  <si>
    <t>Leak GC Name</t>
  </si>
  <si>
    <t>Gas</t>
  </si>
  <si>
    <t>ts_compressor</t>
  </si>
  <si>
    <t>Leak Gas Composition</t>
  </si>
  <si>
    <t>output/Compressor/MC_Last</t>
  </si>
  <si>
    <t>input/Studies/MEET2/DeltaHGC.csv</t>
  </si>
  <si>
    <t>Compressor Efficiency</t>
  </si>
  <si>
    <t>Facility Type</t>
  </si>
  <si>
    <t>Common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</si>
</sst>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2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 applyAlignment="1">
      <alignment horizontal="center" vertical="top"/>
    </xf>
    <xf numFmtId="0" fontId="1" fillId="3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O5" sqref="O5"/>
    </sheetView>
  </sheetViews>
  <sheetFormatPr defaultRowHeight="15" x14ac:dyDescent="0.25"/>
  <cols>
    <col min="1" max="1" width="29.425781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 t="s">
        <v>115</v>
      </c>
    </row>
    <row r="5" spans="1:2" x14ac:dyDescent="0.25">
      <c r="A5" t="s">
        <v>53</v>
      </c>
    </row>
    <row r="6" spans="1:2" x14ac:dyDescent="0.25">
      <c r="A6" t="s">
        <v>118</v>
      </c>
      <c r="B6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0" sqref="D20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114</v>
      </c>
      <c r="E1" s="3" t="s">
        <v>8</v>
      </c>
    </row>
    <row r="2" spans="1:5" x14ac:dyDescent="0.25">
      <c r="A2" t="s">
        <v>42</v>
      </c>
      <c r="B2" s="5">
        <v>0</v>
      </c>
      <c r="C2" s="5">
        <v>0</v>
      </c>
      <c r="D2" t="s">
        <v>116</v>
      </c>
      <c r="E2" t="s">
        <v>22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J2"/>
  <sheetViews>
    <sheetView topLeftCell="B1" workbookViewId="0">
      <selection activeCell="J15" sqref="J15"/>
    </sheetView>
  </sheetViews>
  <sheetFormatPr defaultColWidth="15.85546875" defaultRowHeight="15" x14ac:dyDescent="0.25"/>
  <cols>
    <col min="1" max="1" width="11.42578125" bestFit="1" customWidth="1"/>
    <col min="2" max="2" width="16.85546875" bestFit="1" customWidth="1"/>
    <col min="3" max="3" width="7.140625" bestFit="1" customWidth="1"/>
    <col min="4" max="4" width="8.42578125" bestFit="1" customWidth="1"/>
    <col min="5" max="5" width="9.85546875" bestFit="1" customWidth="1"/>
    <col min="6" max="6" width="13.85546875" bestFit="1" customWidth="1"/>
    <col min="7" max="7" width="10.5703125" bestFit="1" customWidth="1"/>
    <col min="8" max="8" width="14.5703125" bestFit="1" customWidth="1"/>
    <col min="9" max="9" width="8.5703125" bestFit="1" customWidth="1"/>
    <col min="10" max="10" width="59.42578125" bestFit="1" customWidth="1"/>
  </cols>
  <sheetData>
    <row r="1" spans="1:10" s="9" customFormat="1" ht="60" x14ac:dyDescent="0.25">
      <c r="A1" s="8" t="s">
        <v>5</v>
      </c>
      <c r="B1" s="8" t="s">
        <v>8</v>
      </c>
      <c r="C1" s="8" t="s">
        <v>9</v>
      </c>
      <c r="D1" s="8" t="s">
        <v>6</v>
      </c>
      <c r="E1" s="8" t="s">
        <v>7</v>
      </c>
      <c r="F1" s="12" t="s">
        <v>43</v>
      </c>
      <c r="G1" s="12" t="s">
        <v>44</v>
      </c>
      <c r="H1" s="11" t="s">
        <v>45</v>
      </c>
      <c r="I1" s="8" t="s">
        <v>35</v>
      </c>
      <c r="J1" s="8" t="s">
        <v>38</v>
      </c>
    </row>
    <row r="2" spans="1:10" x14ac:dyDescent="0.25">
      <c r="A2" t="s">
        <v>42</v>
      </c>
      <c r="B2" t="s">
        <v>52</v>
      </c>
      <c r="C2" t="s">
        <v>46</v>
      </c>
      <c r="D2">
        <v>0</v>
      </c>
      <c r="E2">
        <v>0</v>
      </c>
      <c r="F2" s="10">
        <v>24</v>
      </c>
      <c r="G2" s="10">
        <v>24</v>
      </c>
      <c r="H2">
        <v>500</v>
      </c>
      <c r="I2" t="s">
        <v>12</v>
      </c>
      <c r="J2" t="s">
        <v>116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6"/>
  <sheetViews>
    <sheetView topLeftCell="E1" workbookViewId="0">
      <selection activeCell="J25" sqref="J25"/>
    </sheetView>
  </sheetViews>
  <sheetFormatPr defaultColWidth="39.5703125" defaultRowHeight="15" x14ac:dyDescent="0.25"/>
  <cols>
    <col min="1" max="1" width="11.42578125" bestFit="1" customWidth="1"/>
    <col min="2" max="2" width="9.85546875" bestFit="1" customWidth="1"/>
    <col min="3" max="3" width="32.5703125" bestFit="1" customWidth="1"/>
    <col min="4" max="5" width="17.42578125" bestFit="1" customWidth="1"/>
    <col min="6" max="6" width="18" style="4" bestFit="1" customWidth="1"/>
    <col min="7" max="7" width="13.42578125" bestFit="1" customWidth="1"/>
    <col min="8" max="8" width="11.140625" bestFit="1" customWidth="1"/>
    <col min="9" max="9" width="12.7109375" customWidth="1"/>
    <col min="10" max="10" width="14.7109375" bestFit="1" customWidth="1"/>
    <col min="11" max="11" width="23.42578125" bestFit="1" customWidth="1"/>
    <col min="12" max="12" width="16.42578125" bestFit="1" customWidth="1"/>
    <col min="13" max="13" width="9.42578125" bestFit="1" customWidth="1"/>
    <col min="14" max="14" width="11.5703125" bestFit="1" customWidth="1"/>
    <col min="15" max="15" width="15.5703125" bestFit="1" customWidth="1"/>
    <col min="16" max="16" width="11.140625" bestFit="1" customWidth="1"/>
    <col min="17" max="17" width="17.5703125" bestFit="1" customWidth="1"/>
    <col min="18" max="18" width="15" bestFit="1" customWidth="1"/>
    <col min="19" max="19" width="16" customWidth="1"/>
    <col min="20" max="20" width="15.42578125" customWidth="1"/>
    <col min="21" max="21" width="29.42578125" bestFit="1" customWidth="1"/>
    <col min="22" max="22" width="28.5703125" bestFit="1" customWidth="1"/>
    <col min="23" max="23" width="16" bestFit="1" customWidth="1"/>
    <col min="24" max="25" width="32.42578125" bestFit="1" customWidth="1"/>
    <col min="26" max="26" width="24.5703125" bestFit="1" customWidth="1"/>
    <col min="27" max="27" width="24.85546875" bestFit="1" customWidth="1"/>
    <col min="28" max="28" width="21" bestFit="1" customWidth="1"/>
    <col min="29" max="29" width="16.42578125" bestFit="1" customWidth="1"/>
    <col min="30" max="30" width="35.85546875" bestFit="1" customWidth="1"/>
    <col min="31" max="31" width="34.42578125" bestFit="1" customWidth="1"/>
    <col min="32" max="32" width="34.5703125" bestFit="1" customWidth="1"/>
    <col min="33" max="33" width="30.42578125" bestFit="1" customWidth="1"/>
    <col min="34" max="34" width="26.5703125" bestFit="1" customWidth="1"/>
    <col min="35" max="35" width="19.140625" bestFit="1" customWidth="1"/>
    <col min="36" max="36" width="19.42578125" bestFit="1" customWidth="1"/>
    <col min="37" max="37" width="15.140625" bestFit="1" customWidth="1"/>
    <col min="38" max="38" width="34.42578125" bestFit="1" customWidth="1"/>
    <col min="39" max="39" width="32.5703125" bestFit="1" customWidth="1"/>
    <col min="40" max="40" width="33" bestFit="1" customWidth="1"/>
    <col min="41" max="41" width="28.5703125" bestFit="1" customWidth="1"/>
    <col min="42" max="42" width="34.42578125" bestFit="1" customWidth="1"/>
    <col min="43" max="43" width="32.85546875" bestFit="1" customWidth="1"/>
    <col min="44" max="44" width="33.140625" bestFit="1" customWidth="1"/>
    <col min="45" max="45" width="28.85546875" bestFit="1" customWidth="1"/>
    <col min="46" max="49" width="38" bestFit="1" customWidth="1"/>
    <col min="50" max="50" width="16" bestFit="1" customWidth="1"/>
    <col min="51" max="51" width="19.85546875" bestFit="1" customWidth="1"/>
    <col min="52" max="52" width="20.5703125" bestFit="1" customWidth="1"/>
    <col min="53" max="53" width="13.42578125" bestFit="1" customWidth="1"/>
  </cols>
  <sheetData>
    <row r="1" spans="1:53" s="28" customFormat="1" ht="75" x14ac:dyDescent="0.25">
      <c r="A1" s="8" t="s">
        <v>5</v>
      </c>
      <c r="B1" s="8" t="s">
        <v>9</v>
      </c>
      <c r="C1" s="23" t="s">
        <v>37</v>
      </c>
      <c r="D1" s="23" t="s">
        <v>10</v>
      </c>
      <c r="E1" s="23" t="s">
        <v>11</v>
      </c>
      <c r="F1" s="8" t="s">
        <v>98</v>
      </c>
      <c r="G1" s="18" t="s">
        <v>99</v>
      </c>
      <c r="H1" s="19" t="s">
        <v>101</v>
      </c>
      <c r="I1" s="11" t="s">
        <v>117</v>
      </c>
      <c r="J1" s="8" t="s">
        <v>96</v>
      </c>
      <c r="K1" s="8" t="s">
        <v>97</v>
      </c>
      <c r="L1" s="20" t="s">
        <v>102</v>
      </c>
      <c r="M1" s="12" t="s">
        <v>100</v>
      </c>
      <c r="N1" s="21" t="s">
        <v>103</v>
      </c>
      <c r="O1" s="19" t="s">
        <v>54</v>
      </c>
      <c r="P1" s="19" t="s">
        <v>55</v>
      </c>
      <c r="Q1" s="8" t="s">
        <v>56</v>
      </c>
      <c r="R1" s="8" t="s">
        <v>57</v>
      </c>
      <c r="S1" s="22" t="s">
        <v>104</v>
      </c>
      <c r="T1" s="22" t="s">
        <v>105</v>
      </c>
      <c r="U1" s="8" t="s">
        <v>58</v>
      </c>
      <c r="V1" s="8" t="s">
        <v>59</v>
      </c>
      <c r="W1" s="8" t="s">
        <v>60</v>
      </c>
      <c r="X1" s="8" t="s">
        <v>61</v>
      </c>
      <c r="Y1" s="24" t="s">
        <v>62</v>
      </c>
      <c r="Z1" s="24" t="s">
        <v>63</v>
      </c>
      <c r="AA1" s="24" t="s">
        <v>64</v>
      </c>
      <c r="AB1" s="24" t="s">
        <v>65</v>
      </c>
      <c r="AC1" s="11" t="s">
        <v>66</v>
      </c>
      <c r="AD1" s="25" t="s">
        <v>67</v>
      </c>
      <c r="AE1" s="24" t="s">
        <v>68</v>
      </c>
      <c r="AF1" s="25" t="s">
        <v>69</v>
      </c>
      <c r="AG1" s="24" t="s">
        <v>70</v>
      </c>
      <c r="AH1" s="26" t="s">
        <v>71</v>
      </c>
      <c r="AI1" s="26" t="s">
        <v>72</v>
      </c>
      <c r="AJ1" s="26" t="s">
        <v>73</v>
      </c>
      <c r="AK1" s="26" t="s">
        <v>74</v>
      </c>
      <c r="AL1" s="24" t="s">
        <v>75</v>
      </c>
      <c r="AM1" s="24" t="s">
        <v>76</v>
      </c>
      <c r="AN1" s="24" t="s">
        <v>77</v>
      </c>
      <c r="AO1" s="24" t="s">
        <v>78</v>
      </c>
      <c r="AP1" s="27" t="s">
        <v>79</v>
      </c>
      <c r="AQ1" s="27" t="s">
        <v>80</v>
      </c>
      <c r="AR1" s="27" t="s">
        <v>81</v>
      </c>
      <c r="AS1" s="27" t="s">
        <v>82</v>
      </c>
      <c r="AT1" s="26" t="s">
        <v>83</v>
      </c>
      <c r="AU1" s="26" t="s">
        <v>84</v>
      </c>
      <c r="AV1" s="26" t="s">
        <v>85</v>
      </c>
      <c r="AW1" s="26" t="s">
        <v>86</v>
      </c>
      <c r="AX1" s="8" t="s">
        <v>8</v>
      </c>
      <c r="AY1" s="8" t="s">
        <v>111</v>
      </c>
      <c r="AZ1" s="8" t="s">
        <v>87</v>
      </c>
      <c r="BA1" s="8" t="s">
        <v>88</v>
      </c>
    </row>
    <row r="2" spans="1:53" x14ac:dyDescent="0.25">
      <c r="A2" t="s">
        <v>42</v>
      </c>
      <c r="B2" t="s">
        <v>89</v>
      </c>
      <c r="C2" s="7">
        <v>365</v>
      </c>
      <c r="D2" s="7">
        <v>750</v>
      </c>
      <c r="E2" s="7">
        <v>1E-10</v>
      </c>
      <c r="F2">
        <v>1000</v>
      </c>
      <c r="G2" s="4" t="s">
        <v>90</v>
      </c>
      <c r="H2" t="s">
        <v>91</v>
      </c>
      <c r="I2">
        <v>0.7</v>
      </c>
      <c r="J2">
        <v>0.35</v>
      </c>
      <c r="K2" t="s">
        <v>107</v>
      </c>
      <c r="L2" t="s">
        <v>92</v>
      </c>
      <c r="M2" s="4" t="s">
        <v>93</v>
      </c>
      <c r="N2" s="4" t="s">
        <v>112</v>
      </c>
      <c r="O2">
        <v>0.9</v>
      </c>
      <c r="P2">
        <v>0.05</v>
      </c>
      <c r="Q2">
        <v>0.4</v>
      </c>
      <c r="R2">
        <v>0.6</v>
      </c>
      <c r="S2">
        <f>24*21</f>
        <v>504</v>
      </c>
      <c r="T2">
        <f>24*7*6</f>
        <v>1008</v>
      </c>
      <c r="U2">
        <v>300</v>
      </c>
      <c r="V2">
        <v>500</v>
      </c>
      <c r="W2">
        <f t="shared" ref="W2:W6" si="0">60*15</f>
        <v>900</v>
      </c>
      <c r="X2">
        <f t="shared" ref="X2:X6" si="1">ROUND(150*600/14.7,0)</f>
        <v>6122</v>
      </c>
      <c r="Y2" s="14">
        <v>1</v>
      </c>
      <c r="Z2" s="14">
        <v>0</v>
      </c>
      <c r="AA2" s="14">
        <v>4380</v>
      </c>
      <c r="AB2" s="14">
        <v>0.21634999999999999</v>
      </c>
      <c r="AC2" t="b">
        <v>1</v>
      </c>
      <c r="AD2" s="14">
        <v>1</v>
      </c>
      <c r="AE2" s="14">
        <v>0</v>
      </c>
      <c r="AF2" s="14">
        <v>4380</v>
      </c>
      <c r="AG2" s="14">
        <v>8.3141000000000007E-2</v>
      </c>
      <c r="AH2" s="15">
        <v>1</v>
      </c>
      <c r="AI2" s="15">
        <v>0</v>
      </c>
      <c r="AJ2" s="15">
        <v>4380</v>
      </c>
      <c r="AK2" s="15">
        <v>0.47815999999999997</v>
      </c>
      <c r="AL2" s="14">
        <v>1</v>
      </c>
      <c r="AM2" s="14">
        <v>0</v>
      </c>
      <c r="AN2" s="14">
        <v>2920</v>
      </c>
      <c r="AO2" s="14">
        <v>2.6738E-3</v>
      </c>
      <c r="AP2" s="16">
        <v>1</v>
      </c>
      <c r="AQ2" s="16">
        <v>0</v>
      </c>
      <c r="AR2" s="16">
        <v>4380</v>
      </c>
      <c r="AS2" s="16">
        <v>0.11268</v>
      </c>
      <c r="AT2" s="15">
        <v>1</v>
      </c>
      <c r="AU2" s="15">
        <v>0</v>
      </c>
      <c r="AV2" s="15">
        <v>2920</v>
      </c>
      <c r="AW2" s="15">
        <v>2.7855000000000002E-3</v>
      </c>
      <c r="AX2" t="s">
        <v>94</v>
      </c>
      <c r="AY2" t="s">
        <v>95</v>
      </c>
      <c r="AZ2" t="s">
        <v>95</v>
      </c>
      <c r="BA2" t="s">
        <v>113</v>
      </c>
    </row>
    <row r="3" spans="1:53" x14ac:dyDescent="0.25">
      <c r="A3" t="s">
        <v>42</v>
      </c>
      <c r="B3" t="s">
        <v>106</v>
      </c>
      <c r="C3" s="7">
        <v>365</v>
      </c>
      <c r="D3" s="7">
        <v>750</v>
      </c>
      <c r="E3" s="7">
        <v>1E-10</v>
      </c>
      <c r="F3">
        <v>1000</v>
      </c>
      <c r="G3" s="4" t="s">
        <v>90</v>
      </c>
      <c r="H3" t="s">
        <v>91</v>
      </c>
      <c r="I3">
        <v>0.7</v>
      </c>
      <c r="J3">
        <v>0.35</v>
      </c>
      <c r="K3" t="s">
        <v>107</v>
      </c>
      <c r="L3" t="s">
        <v>92</v>
      </c>
      <c r="M3" s="4" t="s">
        <v>93</v>
      </c>
      <c r="N3" s="4" t="s">
        <v>90</v>
      </c>
      <c r="O3">
        <v>1</v>
      </c>
      <c r="P3">
        <v>0</v>
      </c>
      <c r="Q3">
        <v>0.4</v>
      </c>
      <c r="R3">
        <v>0.6</v>
      </c>
      <c r="S3">
        <f>24*21</f>
        <v>504</v>
      </c>
      <c r="T3">
        <f>24*7*6</f>
        <v>1008</v>
      </c>
      <c r="U3">
        <v>300</v>
      </c>
      <c r="V3">
        <v>500</v>
      </c>
      <c r="W3">
        <f t="shared" si="0"/>
        <v>900</v>
      </c>
      <c r="X3">
        <f t="shared" si="1"/>
        <v>6122</v>
      </c>
      <c r="Y3" s="14">
        <v>1</v>
      </c>
      <c r="Z3" s="14">
        <v>0</v>
      </c>
      <c r="AA3" s="14">
        <v>4380</v>
      </c>
      <c r="AB3" s="14">
        <v>0.21634999999999999</v>
      </c>
      <c r="AC3" t="b">
        <v>1</v>
      </c>
      <c r="AD3" s="14">
        <v>1</v>
      </c>
      <c r="AE3" s="14">
        <v>0</v>
      </c>
      <c r="AF3" s="14">
        <v>4380</v>
      </c>
      <c r="AG3" s="14">
        <v>8.3141000000000007E-2</v>
      </c>
      <c r="AH3" s="15">
        <v>1</v>
      </c>
      <c r="AI3" s="15">
        <v>0</v>
      </c>
      <c r="AJ3" s="15">
        <v>4380</v>
      </c>
      <c r="AK3" s="15">
        <v>0.47815999999999997</v>
      </c>
      <c r="AL3" s="14">
        <v>1</v>
      </c>
      <c r="AM3" s="14">
        <v>0</v>
      </c>
      <c r="AN3" s="14">
        <v>2920</v>
      </c>
      <c r="AO3" s="14">
        <v>2.6738E-3</v>
      </c>
      <c r="AP3" s="16">
        <v>1</v>
      </c>
      <c r="AQ3" s="16">
        <v>0</v>
      </c>
      <c r="AR3" s="16">
        <v>4380</v>
      </c>
      <c r="AS3" s="16">
        <v>0.11268</v>
      </c>
      <c r="AT3" s="15">
        <v>1</v>
      </c>
      <c r="AU3" s="15">
        <v>0</v>
      </c>
      <c r="AV3" s="15">
        <v>2920</v>
      </c>
      <c r="AW3" s="15">
        <v>2.7855000000000002E-3</v>
      </c>
      <c r="AX3" t="s">
        <v>94</v>
      </c>
      <c r="AY3" t="s">
        <v>95</v>
      </c>
      <c r="AZ3" t="s">
        <v>95</v>
      </c>
      <c r="BA3" t="s">
        <v>113</v>
      </c>
    </row>
    <row r="4" spans="1:53" x14ac:dyDescent="0.25">
      <c r="A4" t="s">
        <v>42</v>
      </c>
      <c r="B4" t="s">
        <v>108</v>
      </c>
      <c r="C4" s="7">
        <v>365</v>
      </c>
      <c r="D4" s="7">
        <v>750</v>
      </c>
      <c r="E4" s="7">
        <v>1E-10</v>
      </c>
      <c r="F4">
        <v>1000</v>
      </c>
      <c r="G4" s="4" t="s">
        <v>90</v>
      </c>
      <c r="H4" t="s">
        <v>91</v>
      </c>
      <c r="I4">
        <v>0.7</v>
      </c>
      <c r="J4">
        <v>0.1</v>
      </c>
      <c r="K4" t="s">
        <v>107</v>
      </c>
      <c r="L4" t="s">
        <v>92</v>
      </c>
      <c r="M4" s="4" t="s">
        <v>93</v>
      </c>
      <c r="N4" s="4" t="s">
        <v>90</v>
      </c>
      <c r="O4">
        <v>1</v>
      </c>
      <c r="P4">
        <v>0</v>
      </c>
      <c r="Q4">
        <v>0.4</v>
      </c>
      <c r="R4">
        <v>0.6</v>
      </c>
      <c r="S4">
        <f>24*21</f>
        <v>504</v>
      </c>
      <c r="T4">
        <f>24*7*6</f>
        <v>1008</v>
      </c>
      <c r="U4">
        <v>300</v>
      </c>
      <c r="V4">
        <v>500</v>
      </c>
      <c r="W4">
        <f t="shared" si="0"/>
        <v>900</v>
      </c>
      <c r="X4">
        <f t="shared" si="1"/>
        <v>6122</v>
      </c>
      <c r="Y4" s="14">
        <v>1</v>
      </c>
      <c r="Z4" s="14">
        <v>0</v>
      </c>
      <c r="AA4" s="14">
        <v>4380</v>
      </c>
      <c r="AB4" s="14">
        <v>0.21634999999999999</v>
      </c>
      <c r="AC4" t="b">
        <v>1</v>
      </c>
      <c r="AD4" s="14">
        <v>1</v>
      </c>
      <c r="AE4" s="14">
        <v>0</v>
      </c>
      <c r="AF4" s="14">
        <v>4380</v>
      </c>
      <c r="AG4" s="14">
        <v>8.3141000000000007E-2</v>
      </c>
      <c r="AH4" s="15">
        <v>1</v>
      </c>
      <c r="AI4" s="15">
        <v>0</v>
      </c>
      <c r="AJ4" s="15">
        <v>4380</v>
      </c>
      <c r="AK4" s="15">
        <v>0.47815999999999997</v>
      </c>
      <c r="AL4" s="14">
        <v>1</v>
      </c>
      <c r="AM4" s="14">
        <v>0</v>
      </c>
      <c r="AN4" s="14">
        <v>2920</v>
      </c>
      <c r="AO4" s="14">
        <v>2.6738E-3</v>
      </c>
      <c r="AP4" s="16">
        <v>1</v>
      </c>
      <c r="AQ4" s="16">
        <v>0</v>
      </c>
      <c r="AR4" s="16">
        <v>4380</v>
      </c>
      <c r="AS4" s="16">
        <v>0.11268</v>
      </c>
      <c r="AT4" s="15">
        <v>1</v>
      </c>
      <c r="AU4" s="15">
        <v>0</v>
      </c>
      <c r="AV4" s="15">
        <v>2920</v>
      </c>
      <c r="AW4" s="15">
        <v>2.7855000000000002E-3</v>
      </c>
      <c r="AX4" t="s">
        <v>94</v>
      </c>
      <c r="AY4" t="s">
        <v>95</v>
      </c>
      <c r="AZ4" t="s">
        <v>95</v>
      </c>
      <c r="BA4" t="s">
        <v>113</v>
      </c>
    </row>
    <row r="5" spans="1:53" x14ac:dyDescent="0.25">
      <c r="A5" t="s">
        <v>42</v>
      </c>
      <c r="B5" t="s">
        <v>109</v>
      </c>
      <c r="C5" s="7">
        <v>365</v>
      </c>
      <c r="D5" s="7">
        <v>750</v>
      </c>
      <c r="E5" s="7">
        <v>1E-10</v>
      </c>
      <c r="F5">
        <v>1000</v>
      </c>
      <c r="G5" s="4" t="s">
        <v>90</v>
      </c>
      <c r="H5" t="s">
        <v>91</v>
      </c>
      <c r="I5">
        <v>0.7</v>
      </c>
      <c r="J5">
        <v>0.5</v>
      </c>
      <c r="K5" t="s">
        <v>107</v>
      </c>
      <c r="L5" t="s">
        <v>92</v>
      </c>
      <c r="M5" s="4" t="s">
        <v>93</v>
      </c>
      <c r="N5" s="4" t="s">
        <v>90</v>
      </c>
      <c r="O5">
        <v>1</v>
      </c>
      <c r="P5">
        <v>0</v>
      </c>
      <c r="Q5">
        <v>0.4</v>
      </c>
      <c r="R5">
        <v>0.6</v>
      </c>
      <c r="S5">
        <f>24*21</f>
        <v>504</v>
      </c>
      <c r="T5">
        <f>24*7*6</f>
        <v>1008</v>
      </c>
      <c r="U5">
        <v>300</v>
      </c>
      <c r="V5">
        <v>500</v>
      </c>
      <c r="W5">
        <f t="shared" si="0"/>
        <v>900</v>
      </c>
      <c r="X5">
        <f t="shared" si="1"/>
        <v>6122</v>
      </c>
      <c r="Y5" s="14">
        <v>1</v>
      </c>
      <c r="Z5" s="14">
        <v>0</v>
      </c>
      <c r="AA5" s="14">
        <v>4380</v>
      </c>
      <c r="AB5" s="14">
        <v>0.21634999999999999</v>
      </c>
      <c r="AC5" t="b">
        <v>1</v>
      </c>
      <c r="AD5" s="14">
        <v>1</v>
      </c>
      <c r="AE5" s="14">
        <v>0</v>
      </c>
      <c r="AF5" s="14">
        <v>4380</v>
      </c>
      <c r="AG5" s="14">
        <v>8.3141000000000007E-2</v>
      </c>
      <c r="AH5" s="15">
        <v>1</v>
      </c>
      <c r="AI5" s="15">
        <v>0</v>
      </c>
      <c r="AJ5" s="15">
        <v>4380</v>
      </c>
      <c r="AK5" s="15">
        <v>0.47815999999999997</v>
      </c>
      <c r="AL5" s="14">
        <v>1</v>
      </c>
      <c r="AM5" s="14">
        <v>0</v>
      </c>
      <c r="AN5" s="14">
        <v>2920</v>
      </c>
      <c r="AO5" s="14">
        <v>2.6738E-3</v>
      </c>
      <c r="AP5" s="16">
        <v>1</v>
      </c>
      <c r="AQ5" s="16">
        <v>0</v>
      </c>
      <c r="AR5" s="16">
        <v>4380</v>
      </c>
      <c r="AS5" s="16">
        <v>0.11268</v>
      </c>
      <c r="AT5" s="15">
        <v>1</v>
      </c>
      <c r="AU5" s="15">
        <v>0</v>
      </c>
      <c r="AV5" s="15">
        <v>2920</v>
      </c>
      <c r="AW5" s="15">
        <v>2.7855000000000002E-3</v>
      </c>
      <c r="AX5" t="s">
        <v>94</v>
      </c>
      <c r="AY5" t="s">
        <v>95</v>
      </c>
      <c r="AZ5" t="s">
        <v>95</v>
      </c>
      <c r="BA5" t="s">
        <v>113</v>
      </c>
    </row>
    <row r="6" spans="1:53" x14ac:dyDescent="0.25">
      <c r="A6" t="s">
        <v>42</v>
      </c>
      <c r="B6" t="s">
        <v>110</v>
      </c>
      <c r="C6" s="7">
        <v>365</v>
      </c>
      <c r="D6" s="7">
        <v>750</v>
      </c>
      <c r="E6" s="7">
        <v>1E-10</v>
      </c>
      <c r="F6">
        <v>1000</v>
      </c>
      <c r="G6" s="4" t="s">
        <v>90</v>
      </c>
      <c r="H6" t="s">
        <v>91</v>
      </c>
      <c r="I6">
        <v>0.7</v>
      </c>
      <c r="J6">
        <v>1</v>
      </c>
      <c r="K6" t="s">
        <v>107</v>
      </c>
      <c r="L6" t="s">
        <v>92</v>
      </c>
      <c r="M6" s="4" t="s">
        <v>93</v>
      </c>
      <c r="N6" s="4" t="s">
        <v>90</v>
      </c>
      <c r="O6">
        <v>1</v>
      </c>
      <c r="P6">
        <v>0</v>
      </c>
      <c r="Q6">
        <v>0.4</v>
      </c>
      <c r="R6">
        <v>0.6</v>
      </c>
      <c r="S6">
        <f>24*21</f>
        <v>504</v>
      </c>
      <c r="T6">
        <f>24*7*6</f>
        <v>1008</v>
      </c>
      <c r="U6">
        <v>300</v>
      </c>
      <c r="V6">
        <v>500</v>
      </c>
      <c r="W6">
        <f t="shared" si="0"/>
        <v>900</v>
      </c>
      <c r="X6">
        <f t="shared" si="1"/>
        <v>6122</v>
      </c>
      <c r="Y6" s="14">
        <v>1</v>
      </c>
      <c r="Z6" s="14">
        <v>0</v>
      </c>
      <c r="AA6" s="14">
        <v>4380</v>
      </c>
      <c r="AB6" s="14">
        <v>0.21634999999999999</v>
      </c>
      <c r="AC6" t="b">
        <v>1</v>
      </c>
      <c r="AD6" s="14">
        <v>1</v>
      </c>
      <c r="AE6" s="14">
        <v>0</v>
      </c>
      <c r="AF6" s="14">
        <v>4380</v>
      </c>
      <c r="AG6" s="14">
        <v>8.3141000000000007E-2</v>
      </c>
      <c r="AH6" s="15">
        <v>1</v>
      </c>
      <c r="AI6" s="15">
        <v>0</v>
      </c>
      <c r="AJ6" s="15">
        <v>4380</v>
      </c>
      <c r="AK6" s="15">
        <v>0.47815999999999997</v>
      </c>
      <c r="AL6" s="14">
        <v>1</v>
      </c>
      <c r="AM6" s="14">
        <v>0</v>
      </c>
      <c r="AN6" s="14">
        <v>2920</v>
      </c>
      <c r="AO6" s="14">
        <v>2.6738E-3</v>
      </c>
      <c r="AP6" s="16">
        <v>1</v>
      </c>
      <c r="AQ6" s="16">
        <v>0</v>
      </c>
      <c r="AR6" s="16">
        <v>4380</v>
      </c>
      <c r="AS6" s="16">
        <v>0.11268</v>
      </c>
      <c r="AT6" s="15">
        <v>1</v>
      </c>
      <c r="AU6" s="15">
        <v>0</v>
      </c>
      <c r="AV6" s="15">
        <v>2920</v>
      </c>
      <c r="AW6" s="15">
        <v>2.7855000000000002E-3</v>
      </c>
      <c r="AX6" t="s">
        <v>94</v>
      </c>
      <c r="AY6" t="s">
        <v>95</v>
      </c>
      <c r="AZ6" t="s">
        <v>95</v>
      </c>
      <c r="BA6" t="s">
        <v>113</v>
      </c>
    </row>
  </sheetData>
  <phoneticPr fontId="3" type="noConversion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2"/>
  <sheetViews>
    <sheetView workbookViewId="0">
      <selection activeCell="B4" sqref="B4"/>
    </sheetView>
  </sheetViews>
  <sheetFormatPr defaultRowHeight="15" x14ac:dyDescent="0.25"/>
  <cols>
    <col min="1" max="1" width="10.5703125" bestFit="1" customWidth="1"/>
    <col min="2" max="2" width="11.42578125" bestFit="1" customWidth="1"/>
    <col min="3" max="3" width="7.42578125" bestFit="1" customWidth="1"/>
  </cols>
  <sheetData>
    <row r="1" spans="1:3" x14ac:dyDescent="0.25">
      <c r="A1" s="13" t="s">
        <v>8</v>
      </c>
      <c r="B1" s="8" t="s">
        <v>5</v>
      </c>
      <c r="C1" s="8" t="s">
        <v>9</v>
      </c>
    </row>
    <row r="2" spans="1:3" x14ac:dyDescent="0.25">
      <c r="A2" t="s">
        <v>48</v>
      </c>
      <c r="B2" t="s">
        <v>42</v>
      </c>
      <c r="C2" t="s">
        <v>49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7"/>
  <sheetViews>
    <sheetView workbookViewId="0">
      <selection activeCell="G16" sqref="G16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570312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0.140625" bestFit="1" customWidth="1"/>
  </cols>
  <sheetData>
    <row r="1" spans="1:7" x14ac:dyDescent="0.25">
      <c r="A1" s="1" t="s">
        <v>8</v>
      </c>
      <c r="B1" s="1" t="s">
        <v>24</v>
      </c>
      <c r="C1" s="1" t="s">
        <v>25</v>
      </c>
      <c r="D1" s="1" t="s">
        <v>26</v>
      </c>
      <c r="E1" s="1" t="s">
        <v>27</v>
      </c>
      <c r="F1" s="6" t="s">
        <v>28</v>
      </c>
      <c r="G1" s="6" t="s">
        <v>29</v>
      </c>
    </row>
    <row r="2" spans="1:7" x14ac:dyDescent="0.25">
      <c r="A2" t="s">
        <v>30</v>
      </c>
      <c r="B2" t="s">
        <v>42</v>
      </c>
      <c r="C2" t="s">
        <v>46</v>
      </c>
      <c r="D2" t="s">
        <v>42</v>
      </c>
      <c r="E2" t="s">
        <v>89</v>
      </c>
      <c r="F2" t="s">
        <v>50</v>
      </c>
      <c r="G2" s="17"/>
    </row>
    <row r="3" spans="1:7" x14ac:dyDescent="0.25">
      <c r="A3" t="s">
        <v>30</v>
      </c>
      <c r="B3" t="s">
        <v>42</v>
      </c>
      <c r="C3" t="s">
        <v>89</v>
      </c>
      <c r="D3" t="s">
        <v>42</v>
      </c>
      <c r="E3" t="s">
        <v>49</v>
      </c>
      <c r="F3" t="s">
        <v>50</v>
      </c>
    </row>
    <row r="4" spans="1:7" x14ac:dyDescent="0.25">
      <c r="A4" t="s">
        <v>30</v>
      </c>
      <c r="B4" t="s">
        <v>42</v>
      </c>
      <c r="C4" t="s">
        <v>46</v>
      </c>
      <c r="D4" t="s">
        <v>42</v>
      </c>
      <c r="E4" t="s">
        <v>106</v>
      </c>
      <c r="F4" t="s">
        <v>50</v>
      </c>
    </row>
    <row r="5" spans="1:7" x14ac:dyDescent="0.25">
      <c r="A5" t="s">
        <v>30</v>
      </c>
      <c r="B5" t="s">
        <v>42</v>
      </c>
      <c r="C5" t="s">
        <v>106</v>
      </c>
      <c r="D5" t="s">
        <v>42</v>
      </c>
      <c r="E5" t="s">
        <v>49</v>
      </c>
      <c r="F5" t="s">
        <v>50</v>
      </c>
    </row>
    <row r="6" spans="1:7" x14ac:dyDescent="0.25">
      <c r="A6" t="s">
        <v>30</v>
      </c>
      <c r="B6" t="s">
        <v>42</v>
      </c>
      <c r="C6" t="s">
        <v>46</v>
      </c>
      <c r="D6" t="s">
        <v>42</v>
      </c>
      <c r="E6" t="s">
        <v>108</v>
      </c>
      <c r="F6" t="s">
        <v>50</v>
      </c>
    </row>
    <row r="7" spans="1:7" x14ac:dyDescent="0.25">
      <c r="A7" t="s">
        <v>30</v>
      </c>
      <c r="B7" t="s">
        <v>42</v>
      </c>
      <c r="C7" t="s">
        <v>108</v>
      </c>
      <c r="D7" t="s">
        <v>42</v>
      </c>
      <c r="E7" t="s">
        <v>49</v>
      </c>
      <c r="F7" t="s">
        <v>50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5"/>
  <sheetViews>
    <sheetView workbookViewId="0">
      <selection activeCell="D12" sqref="D12"/>
    </sheetView>
  </sheetViews>
  <sheetFormatPr defaultRowHeight="15" x14ac:dyDescent="0.25"/>
  <cols>
    <col min="1" max="1" width="19.42578125" bestFit="1" customWidth="1"/>
    <col min="2" max="2" width="12.42578125" bestFit="1" customWidth="1"/>
    <col min="3" max="3" width="11.140625" bestFit="1" customWidth="1"/>
    <col min="4" max="4" width="86" customWidth="1"/>
  </cols>
  <sheetData>
    <row r="1" spans="1:3" x14ac:dyDescent="0.25">
      <c r="A1" t="s">
        <v>8</v>
      </c>
      <c r="B1" t="s">
        <v>32</v>
      </c>
      <c r="C1" t="s">
        <v>33</v>
      </c>
    </row>
    <row r="2" spans="1:3" x14ac:dyDescent="0.25">
      <c r="A2" t="s">
        <v>34</v>
      </c>
      <c r="B2" t="str">
        <f>"FFDump"&amp;C2</f>
        <v>FFDump500</v>
      </c>
      <c r="C2">
        <v>500</v>
      </c>
    </row>
    <row r="3" spans="1:3" x14ac:dyDescent="0.25">
      <c r="A3" t="s">
        <v>34</v>
      </c>
      <c r="B3" t="str">
        <f>"FFDump"&amp;C3</f>
        <v>FFDump600</v>
      </c>
      <c r="C3">
        <v>600</v>
      </c>
    </row>
    <row r="4" spans="1:3" x14ac:dyDescent="0.25">
      <c r="A4" t="s">
        <v>34</v>
      </c>
      <c r="B4" t="str">
        <f>"FFDump"&amp;C4</f>
        <v>FFDump601</v>
      </c>
      <c r="C4">
        <v>601</v>
      </c>
    </row>
    <row r="5" spans="1:3" x14ac:dyDescent="0.25">
      <c r="A5" t="s">
        <v>34</v>
      </c>
      <c r="B5" t="str">
        <f>"FFDump"&amp;C5</f>
        <v>FFDump590</v>
      </c>
      <c r="C5">
        <v>590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G19" sqref="G19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51</v>
      </c>
      <c r="B3" t="s">
        <v>51</v>
      </c>
    </row>
    <row r="4" spans="1:2" x14ac:dyDescent="0.25">
      <c r="A4" t="s">
        <v>20</v>
      </c>
      <c r="B4" t="s">
        <v>20</v>
      </c>
    </row>
    <row r="5" spans="1:2" x14ac:dyDescent="0.25">
      <c r="A5" t="s">
        <v>47</v>
      </c>
      <c r="B5" t="s">
        <v>47</v>
      </c>
    </row>
    <row r="6" spans="1:2" x14ac:dyDescent="0.25">
      <c r="A6" t="s">
        <v>39</v>
      </c>
      <c r="B6" t="s">
        <v>39</v>
      </c>
    </row>
    <row r="7" spans="1:2" x14ac:dyDescent="0.25">
      <c r="A7" t="s">
        <v>23</v>
      </c>
      <c r="B7" t="s">
        <v>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13" activeCellId="1" sqref="A5:XFD5 A13:XFD13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18</v>
      </c>
      <c r="B3" t="s">
        <v>18</v>
      </c>
    </row>
    <row r="4" spans="1:2" x14ac:dyDescent="0.25">
      <c r="A4" t="s">
        <v>36</v>
      </c>
      <c r="B4" t="s">
        <v>36</v>
      </c>
    </row>
    <row r="5" spans="1:2" x14ac:dyDescent="0.25">
      <c r="A5" t="s">
        <v>31</v>
      </c>
      <c r="B5" t="s">
        <v>31</v>
      </c>
    </row>
    <row r="6" spans="1:2" x14ac:dyDescent="0.25">
      <c r="A6" t="s">
        <v>19</v>
      </c>
      <c r="B6" t="s">
        <v>19</v>
      </c>
    </row>
    <row r="7" spans="1:2" x14ac:dyDescent="0.25">
      <c r="A7" t="s">
        <v>20</v>
      </c>
      <c r="B7" t="s">
        <v>20</v>
      </c>
    </row>
    <row r="8" spans="1:2" x14ac:dyDescent="0.25">
      <c r="A8" t="s">
        <v>13</v>
      </c>
      <c r="B8" t="s">
        <v>13</v>
      </c>
    </row>
    <row r="9" spans="1:2" x14ac:dyDescent="0.25">
      <c r="A9" t="s">
        <v>14</v>
      </c>
      <c r="B9" t="s">
        <v>14</v>
      </c>
    </row>
    <row r="10" spans="1:2" x14ac:dyDescent="0.25">
      <c r="A10" t="s">
        <v>40</v>
      </c>
      <c r="B10" t="s">
        <v>40</v>
      </c>
    </row>
    <row r="11" spans="1:2" x14ac:dyDescent="0.25">
      <c r="A11" t="s">
        <v>41</v>
      </c>
      <c r="B11" t="s">
        <v>41</v>
      </c>
    </row>
    <row r="12" spans="1:2" x14ac:dyDescent="0.25">
      <c r="A12" t="s">
        <v>21</v>
      </c>
      <c r="B12" t="s">
        <v>21</v>
      </c>
    </row>
    <row r="13" spans="1:2" x14ac:dyDescent="0.25">
      <c r="A13" t="s">
        <v>39</v>
      </c>
      <c r="B13" t="s">
        <v>39</v>
      </c>
    </row>
    <row r="14" spans="1:2" x14ac:dyDescent="0.25">
      <c r="A14" t="s">
        <v>23</v>
      </c>
      <c r="B1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Source</vt:lpstr>
      <vt:lpstr>Compressors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2023-10-27T21:21:59Z</dcterms:modified>
</cp:coreProperties>
</file>