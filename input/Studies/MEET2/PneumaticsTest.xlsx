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METEC\MEET2_new\input\Studies\MEET2\"/>
    </mc:Choice>
  </mc:AlternateContent>
  <xr:revisionPtr revIDLastSave="0" documentId="13_ncr:1_{6FD5B3C7-A0D4-41CA-82D6-9F7CB7C8D532}" xr6:coauthVersionLast="47" xr6:coauthVersionMax="47" xr10:uidLastSave="{00000000-0000-0000-0000-000000000000}"/>
  <bookViews>
    <workbookView xWindow="-120" yWindow="-120" windowWidth="29040" windowHeight="15720" tabRatio="973" activeTab="6" xr2:uid="{00000000-000D-0000-FFFF-FFFF00000000}"/>
  </bookViews>
  <sheets>
    <sheet name="Global Simulation Parameters" sheetId="1" r:id="rId1"/>
    <sheet name="Facilities" sheetId="2" r:id="rId2"/>
    <sheet name="Wells" sheetId="21" r:id="rId3"/>
    <sheet name="CyclingWells" sheetId="25" r:id="rId4"/>
    <sheet name="ContinuousWells" sheetId="26" r:id="rId5"/>
    <sheet name="Separators" sheetId="5" r:id="rId6"/>
    <sheet name="IntermittentPneumatics" sheetId="28" r:id="rId7"/>
    <sheet name="ContinuousPneumatics" sheetId="27" r:id="rId8"/>
    <sheet name="TankBattery" sheetId="23" r:id="rId9"/>
    <sheet name="Probes" sheetId="22" r:id="rId10"/>
    <sheet name="Flares" sheetId="24" r:id="rId11"/>
    <sheet name="FFLinks" sheetId="16" r:id="rId12"/>
    <sheet name="Debug" sheetId="17" r:id="rId13"/>
    <sheet name="Master Equipment" sheetId="14" r:id="rId14"/>
    <sheet name="MAll" sheetId="19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" i="17" l="1"/>
  <c r="B6" i="17" l="1"/>
  <c r="B5" i="17"/>
  <c r="B4" i="17"/>
  <c r="B3" i="17"/>
  <c r="B2" i="17"/>
</calcChain>
</file>

<file path=xl/sharedStrings.xml><?xml version="1.0" encoding="utf-8"?>
<sst xmlns="http://schemas.openxmlformats.org/spreadsheetml/2006/main" count="435" uniqueCount="179">
  <si>
    <t>Simulation Start Date</t>
  </si>
  <si>
    <t>1/1/2021</t>
  </si>
  <si>
    <t>Simulation Duration [Days]</t>
  </si>
  <si>
    <t>Number of Monte Carlo Iterations</t>
  </si>
  <si>
    <t>Facility ID</t>
  </si>
  <si>
    <t>Latitude</t>
  </si>
  <si>
    <t>Longitude</t>
  </si>
  <si>
    <t>Model ID</t>
  </si>
  <si>
    <t>Unit ID</t>
  </si>
  <si>
    <t>Component Count</t>
  </si>
  <si>
    <t>Component pLeak</t>
  </si>
  <si>
    <t>Well</t>
  </si>
  <si>
    <t>Yard Piping</t>
  </si>
  <si>
    <t>Tank Battery</t>
  </si>
  <si>
    <t>Readable Name</t>
  </si>
  <si>
    <t>Tab</t>
  </si>
  <si>
    <t>Facilities</t>
  </si>
  <si>
    <t>Wells</t>
  </si>
  <si>
    <t>Dehydrators</t>
  </si>
  <si>
    <t>Compressors</t>
  </si>
  <si>
    <t>Links</t>
  </si>
  <si>
    <t>Facility.json</t>
  </si>
  <si>
    <t>Debug</t>
  </si>
  <si>
    <t>Outlet FacilityID</t>
  </si>
  <si>
    <t>Outlet UnitID</t>
  </si>
  <si>
    <t>Inlet FacilityID</t>
  </si>
  <si>
    <t>Inlet UnitID</t>
  </si>
  <si>
    <t>Flow Name</t>
  </si>
  <si>
    <t>Flow SecondaryID</t>
  </si>
  <si>
    <t>Condensate</t>
  </si>
  <si>
    <t>FFLink.json</t>
  </si>
  <si>
    <t>Separators</t>
  </si>
  <si>
    <t>DumpID</t>
  </si>
  <si>
    <t>Dump Time</t>
  </si>
  <si>
    <t>FFDumpService.json</t>
  </si>
  <si>
    <t>Flow Tag</t>
  </si>
  <si>
    <t>Flow GC Tag</t>
  </si>
  <si>
    <t>Water</t>
  </si>
  <si>
    <t>Primary Water Takeoff Ratio</t>
  </si>
  <si>
    <t>Common Headers</t>
  </si>
  <si>
    <t>Component Leak Survey Frequency [days]</t>
  </si>
  <si>
    <t>Actuator Type [Gas, Electric, Air]</t>
  </si>
  <si>
    <t>Electric</t>
  </si>
  <si>
    <t>Flow Gas Composition</t>
  </si>
  <si>
    <t>FFLinks</t>
  </si>
  <si>
    <t>VRUs</t>
  </si>
  <si>
    <t>Flares</t>
  </si>
  <si>
    <t>facility_test</t>
  </si>
  <si>
    <t>S1</t>
  </si>
  <si>
    <t>W1</t>
  </si>
  <si>
    <t>Probe.json</t>
  </si>
  <si>
    <t>Stage1</t>
  </si>
  <si>
    <t>Activity / Emission Factor Name</t>
  </si>
  <si>
    <t>CycledWell.json</t>
  </si>
  <si>
    <t>Oil Production [bbl/day]</t>
  </si>
  <si>
    <t>Water Production [bbl/day]</t>
  </si>
  <si>
    <t>Stuck Dump Valve Component Count</t>
  </si>
  <si>
    <t>Stuck Dump Valve pLeak</t>
  </si>
  <si>
    <t>Stuck Dump Valve Failure Duration Min [days]</t>
  </si>
  <si>
    <t>Stuck Dump Valve Failure Duration Max [days]</t>
  </si>
  <si>
    <t>Fraction of Flash Released</t>
  </si>
  <si>
    <t>Dump Volume [bbl]</t>
  </si>
  <si>
    <t>Dump Time [s]</t>
  </si>
  <si>
    <t>Total Liquids Produced [bbl/dump]</t>
  </si>
  <si>
    <t>Mean Production Time [s]</t>
  </si>
  <si>
    <t>Production Time Variation [s]</t>
  </si>
  <si>
    <t>Shut In Time Variation [percent]</t>
  </si>
  <si>
    <t>Factor Tag</t>
  </si>
  <si>
    <t>Gas</t>
  </si>
  <si>
    <t>probe_c</t>
  </si>
  <si>
    <t>probe_w</t>
  </si>
  <si>
    <t>probe_g</t>
  </si>
  <si>
    <t>Number of Thief Hatches</t>
  </si>
  <si>
    <t>Number of Vents</t>
  </si>
  <si>
    <t>Tank Thief Hatch MTTR min [days]</t>
  </si>
  <si>
    <t>Tank Thief Hatch MTTR max [days]</t>
  </si>
  <si>
    <t>Tank Thief Hatch pLeak</t>
  </si>
  <si>
    <t>Tank Battery Vent MTTR min [days]</t>
  </si>
  <si>
    <t>Tank Battery Vent MTTR max [days]</t>
  </si>
  <si>
    <t>Tank Battery Vent pLeak</t>
  </si>
  <si>
    <t>Overpressure Vents Large Emitter MTTR min [days]</t>
  </si>
  <si>
    <t>Overpressure Vents Large Emitter MTTR max [days]</t>
  </si>
  <si>
    <t>Overpressure Vents Large Emitter pLeak</t>
  </si>
  <si>
    <t>Overpressure Vents Large Emitter Threshold [scfh]</t>
  </si>
  <si>
    <t>Inlet Flow At Max Primary Flow [scfh]</t>
  </si>
  <si>
    <t>Max Primary Outlet Flow [scfh]</t>
  </si>
  <si>
    <t>TankBattery.json</t>
  </si>
  <si>
    <t>TBW</t>
  </si>
  <si>
    <t>Air</t>
  </si>
  <si>
    <t>Water Tank</t>
  </si>
  <si>
    <t>TBC</t>
  </si>
  <si>
    <t>Condensate Tank</t>
  </si>
  <si>
    <t>Battery Type [Condensate Tank, Water Tank]</t>
  </si>
  <si>
    <t>Fluid [Water, Condensate]</t>
  </si>
  <si>
    <t>input/Studies/MEET2/TestGCFile1.csv</t>
  </si>
  <si>
    <t>pMalfunction</t>
  </si>
  <si>
    <t>Malfunction Duration min [days]</t>
  </si>
  <si>
    <t>Malfunction Duration max [days]</t>
  </si>
  <si>
    <t>Malfunction Destruction Efficiency</t>
  </si>
  <si>
    <t>pUnlit</t>
  </si>
  <si>
    <t>Unlit Duration min [days]</t>
  </si>
  <si>
    <t>Unlit Duration max [days]</t>
  </si>
  <si>
    <t>Unlit Destruction Efficiency</t>
  </si>
  <si>
    <t>Operating Duration min [days]</t>
  </si>
  <si>
    <t>Operating Duration max [days]</t>
  </si>
  <si>
    <t>Operating Destruction Efficiency</t>
  </si>
  <si>
    <t>flare_1</t>
  </si>
  <si>
    <t>Flare.json</t>
  </si>
  <si>
    <t>Default-LeakGc</t>
  </si>
  <si>
    <t>W2</t>
  </si>
  <si>
    <t>Approx Planning Time [days]</t>
  </si>
  <si>
    <t>Approx Delay After Planning [days]</t>
  </si>
  <si>
    <t>Approx Drilling Time [days]</t>
  </si>
  <si>
    <t>Approx Delay After Drilling [days]</t>
  </si>
  <si>
    <t>Completion Durations Name</t>
  </si>
  <si>
    <t>Approx Delay After Completion [days]</t>
  </si>
  <si>
    <t>Approx Flow Back Time [days]</t>
  </si>
  <si>
    <t>Approx Delay After Flow Back [days]</t>
  </si>
  <si>
    <t>Optional Unloading [True, False]</t>
  </si>
  <si>
    <t>Min Time Between Unloadings [days]</t>
  </si>
  <si>
    <t>Max Time Between Unloadings [days]</t>
  </si>
  <si>
    <t>Unloading Type [Manual, Automatic]</t>
  </si>
  <si>
    <t>Weekdays Only [Yes, No]</t>
  </si>
  <si>
    <t>LU Shut-In Duration Min [hours]</t>
  </si>
  <si>
    <t>LU Shut-In Duration Max [hours]</t>
  </si>
  <si>
    <t>Unloading Duration Min [hours]</t>
  </si>
  <si>
    <t>Unloading Duration Max [hours]</t>
  </si>
  <si>
    <t>Destination of Unloading Gas</t>
  </si>
  <si>
    <t>Simulation Start Stage [PreProduction, Production]</t>
  </si>
  <si>
    <t>Manual</t>
  </si>
  <si>
    <t>No</t>
  </si>
  <si>
    <t>some_vent_ID</t>
  </si>
  <si>
    <t>WellCompletions/Allen2013/DurationsFake.csv</t>
  </si>
  <si>
    <t>Di per month</t>
  </si>
  <si>
    <t>b Hyperbolic</t>
  </si>
  <si>
    <t>Age months</t>
  </si>
  <si>
    <t>Well.json</t>
  </si>
  <si>
    <t>Yes</t>
  </si>
  <si>
    <t>Leak GC Name</t>
  </si>
  <si>
    <t>wellpad</t>
  </si>
  <si>
    <t>Well-Condensate.Stage1-Flash</t>
  </si>
  <si>
    <t>Well-Water.Stage1-Water.Stage2-Water.Tank-Flash</t>
  </si>
  <si>
    <t>Well-Condensate.Stage1-Condensate.Stage2-Condensate.Tank-Flash</t>
  </si>
  <si>
    <t>Production</t>
  </si>
  <si>
    <t>wellpad_sep</t>
  </si>
  <si>
    <t>wellpad_tanks</t>
  </si>
  <si>
    <t>wellpad_flare</t>
  </si>
  <si>
    <t>Leak Gas Composition</t>
  </si>
  <si>
    <t>ContinuousWells</t>
  </si>
  <si>
    <t>Number of Pneumatics</t>
  </si>
  <si>
    <t>Abnormal Emissions pLeak</t>
  </si>
  <si>
    <t>Abnormal Emissions MTTR Min [days]</t>
  </si>
  <si>
    <t>Abnormal Emissions MTTR Max [days]</t>
  </si>
  <si>
    <t>ContinuousPneumatics.json</t>
  </si>
  <si>
    <t>IntermittentPneumatics.json</t>
  </si>
  <si>
    <t>pc_intermittent</t>
  </si>
  <si>
    <t>pc_continuous</t>
  </si>
  <si>
    <t>ContinuousPneumatics</t>
  </si>
  <si>
    <t>IntermittentPneumatics</t>
  </si>
  <si>
    <t>Intermittent Wait Duration Min [s]</t>
  </si>
  <si>
    <t>Intermittent Wait Duration Max [s]</t>
  </si>
  <si>
    <t>PCont1</t>
  </si>
  <si>
    <t>PInt1</t>
  </si>
  <si>
    <t>S2</t>
  </si>
  <si>
    <t>Stage2</t>
  </si>
  <si>
    <t>Well-Condensate.Stage1-Condensate.Stage2-Flash</t>
  </si>
  <si>
    <t>condensate_flow</t>
  </si>
  <si>
    <t>primary_water</t>
  </si>
  <si>
    <t>Vapor</t>
  </si>
  <si>
    <t>condensate_flash</t>
  </si>
  <si>
    <t>water_flash</t>
  </si>
  <si>
    <t>Facility Type</t>
  </si>
  <si>
    <t>Common</t>
  </si>
  <si>
    <t>Production\WellCompletions\Allen2013\DurationsFake.csv</t>
  </si>
  <si>
    <t>Production\FlashFractions\FlashFractionsTest.csv</t>
  </si>
  <si>
    <t>DumpingSeparator.json</t>
  </si>
  <si>
    <t>PInt1_inst_0</t>
  </si>
  <si>
    <t>Abnormal Intermittent Actuation Emission Duration Min [s]</t>
  </si>
  <si>
    <t>Abnormal Intermittent Actuation Emission Duration Max [s]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</si>
</sst>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wrapText="1"/>
    </xf>
    <xf numFmtId="0" fontId="0" fillId="0" borderId="0" xfId="0" applyAlignment="1">
      <alignment horizontal="center"/>
    </xf>
    <xf numFmtId="164" fontId="0" fillId="0" borderId="0" xfId="0" applyNumberFormat="1"/>
    <xf numFmtId="0" fontId="0" fillId="3" borderId="0" xfId="0" applyFill="1"/>
    <xf numFmtId="0" fontId="1" fillId="0" borderId="1" xfId="0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0" fillId="4" borderId="0" xfId="0" applyFill="1"/>
    <xf numFmtId="0" fontId="2" fillId="4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0" fillId="5" borderId="0" xfId="0" applyFill="1"/>
    <xf numFmtId="0" fontId="2" fillId="6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0" fillId="6" borderId="0" xfId="0" applyFill="1"/>
    <xf numFmtId="0" fontId="0" fillId="7" borderId="0" xfId="0" applyFill="1"/>
    <xf numFmtId="0" fontId="1" fillId="0" borderId="2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8" borderId="0" xfId="0" applyFill="1"/>
    <xf numFmtId="0" fontId="0" fillId="9" borderId="0" xfId="0" applyFill="1"/>
    <xf numFmtId="0" fontId="0" fillId="10" borderId="0" xfId="0" applyFill="1"/>
    <xf numFmtId="1" fontId="0" fillId="10" borderId="0" xfId="0" applyNumberFormat="1" applyFill="1"/>
    <xf numFmtId="0" fontId="1" fillId="11" borderId="1" xfId="0" applyFont="1" applyFill="1" applyBorder="1" applyAlignment="1">
      <alignment horizontal="center" vertical="center" wrapText="1"/>
    </xf>
    <xf numFmtId="0" fontId="0" fillId="11" borderId="0" xfId="0" applyFill="1"/>
    <xf numFmtId="0" fontId="1" fillId="6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1" fillId="12" borderId="1" xfId="0" applyFont="1" applyFill="1" applyBorder="1" applyAlignment="1">
      <alignment horizontal="center" vertical="center" wrapText="1"/>
    </xf>
    <xf numFmtId="0" fontId="0" fillId="12" borderId="0" xfId="0" applyFill="1"/>
    <xf numFmtId="0" fontId="0" fillId="13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"/>
  <sheetViews>
    <sheetView workbookViewId="0">
      <selection activeCell="C25" sqref="C25"/>
    </sheetView>
  </sheetViews>
  <sheetFormatPr defaultRowHeight="15" x14ac:dyDescent="0.25"/>
  <cols>
    <col min="1" max="1" width="29.28515625" bestFit="1" customWidth="1"/>
    <col min="2" max="2" width="58.8554687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>
        <v>100</v>
      </c>
    </row>
    <row r="3" spans="1:2" x14ac:dyDescent="0.25">
      <c r="A3" t="s">
        <v>3</v>
      </c>
      <c r="B3">
        <v>2</v>
      </c>
    </row>
    <row r="4" spans="1:2" x14ac:dyDescent="0.25">
      <c r="A4" t="s">
        <v>52</v>
      </c>
    </row>
    <row r="5" spans="1:2" x14ac:dyDescent="0.25">
      <c r="A5" t="s">
        <v>171</v>
      </c>
      <c r="B5" t="s">
        <v>172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"/>
  <sheetViews>
    <sheetView workbookViewId="0">
      <selection activeCell="D2" sqref="D2"/>
    </sheetView>
  </sheetViews>
  <sheetFormatPr defaultRowHeight="15" x14ac:dyDescent="0.25"/>
  <cols>
    <col min="1" max="1" width="11.42578125" bestFit="1" customWidth="1"/>
    <col min="2" max="2" width="9.5703125" bestFit="1" customWidth="1"/>
    <col min="3" max="3" width="9.85546875" bestFit="1" customWidth="1"/>
    <col min="4" max="4" width="59.42578125" bestFit="1" customWidth="1"/>
    <col min="5" max="5" width="11.5703125" bestFit="1" customWidth="1"/>
  </cols>
  <sheetData>
    <row r="1" spans="1:5" s="2" customFormat="1" x14ac:dyDescent="0.25">
      <c r="A1" s="3" t="s">
        <v>4</v>
      </c>
      <c r="B1" s="3" t="s">
        <v>5</v>
      </c>
      <c r="C1" s="3" t="s">
        <v>6</v>
      </c>
      <c r="D1" s="3" t="s">
        <v>147</v>
      </c>
      <c r="E1" s="3" t="s">
        <v>7</v>
      </c>
    </row>
    <row r="2" spans="1:5" x14ac:dyDescent="0.25">
      <c r="A2" t="s">
        <v>47</v>
      </c>
      <c r="B2" s="5">
        <v>0</v>
      </c>
      <c r="C2" s="5">
        <v>0</v>
      </c>
      <c r="D2" t="s">
        <v>94</v>
      </c>
      <c r="E2" t="s">
        <v>21</v>
      </c>
    </row>
    <row r="3" spans="1:5" x14ac:dyDescent="0.25">
      <c r="B3" s="5"/>
      <c r="C3" s="5"/>
    </row>
    <row r="4" spans="1:5" x14ac:dyDescent="0.25">
      <c r="B4" s="5"/>
      <c r="C4" s="5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28EC0-9D38-4387-9F22-FC0929712721}">
  <dimension ref="A1:S3"/>
  <sheetViews>
    <sheetView workbookViewId="0">
      <selection activeCell="O9" sqref="O9"/>
    </sheetView>
  </sheetViews>
  <sheetFormatPr defaultColWidth="15.85546875" defaultRowHeight="15" x14ac:dyDescent="0.25"/>
  <cols>
    <col min="1" max="1" width="11.42578125" bestFit="1" customWidth="1"/>
    <col min="2" max="2" width="15.42578125" bestFit="1" customWidth="1"/>
    <col min="3" max="3" width="7.140625" bestFit="1" customWidth="1"/>
    <col min="4" max="4" width="8.28515625" bestFit="1" customWidth="1"/>
    <col min="5" max="5" width="9.85546875" bestFit="1" customWidth="1"/>
    <col min="6" max="8" width="11.42578125" bestFit="1" customWidth="1"/>
    <col min="9" max="10" width="10.7109375" bestFit="1" customWidth="1"/>
    <col min="11" max="11" width="12.140625" bestFit="1" customWidth="1"/>
    <col min="12" max="12" width="10.7109375" bestFit="1" customWidth="1"/>
    <col min="13" max="13" width="15.7109375" bestFit="1" customWidth="1"/>
    <col min="14" max="14" width="9.28515625" bestFit="1" customWidth="1"/>
    <col min="15" max="15" width="13.42578125" bestFit="1" customWidth="1"/>
    <col min="16" max="16" width="8.7109375" bestFit="1" customWidth="1"/>
    <col min="17" max="17" width="19.85546875" bestFit="1" customWidth="1"/>
    <col min="18" max="18" width="42.85546875" bestFit="1" customWidth="1"/>
    <col min="19" max="19" width="9.85546875" bestFit="1" customWidth="1"/>
  </cols>
  <sheetData>
    <row r="1" spans="1:19" s="10" customFormat="1" ht="60" x14ac:dyDescent="0.25">
      <c r="A1" s="7" t="s">
        <v>4</v>
      </c>
      <c r="B1" s="7" t="s">
        <v>7</v>
      </c>
      <c r="C1" s="7" t="s">
        <v>8</v>
      </c>
      <c r="D1" s="7" t="s">
        <v>5</v>
      </c>
      <c r="E1" s="7" t="s">
        <v>6</v>
      </c>
      <c r="F1" s="17" t="s">
        <v>40</v>
      </c>
      <c r="G1" s="17" t="s">
        <v>9</v>
      </c>
      <c r="H1" s="17" t="s">
        <v>10</v>
      </c>
      <c r="I1" s="13" t="s">
        <v>54</v>
      </c>
      <c r="J1" s="13" t="s">
        <v>55</v>
      </c>
      <c r="K1" s="18" t="s">
        <v>63</v>
      </c>
      <c r="L1" s="18" t="s">
        <v>64</v>
      </c>
      <c r="M1" s="18" t="s">
        <v>65</v>
      </c>
      <c r="N1" s="18" t="s">
        <v>66</v>
      </c>
      <c r="O1" s="7" t="s">
        <v>41</v>
      </c>
      <c r="P1" s="7" t="s">
        <v>35</v>
      </c>
      <c r="Q1" s="7" t="s">
        <v>138</v>
      </c>
      <c r="R1" s="7" t="s">
        <v>43</v>
      </c>
      <c r="S1" s="7" t="s">
        <v>67</v>
      </c>
    </row>
    <row r="2" spans="1:19" x14ac:dyDescent="0.25">
      <c r="A2" t="s">
        <v>47</v>
      </c>
      <c r="B2" t="s">
        <v>53</v>
      </c>
      <c r="C2" t="s">
        <v>49</v>
      </c>
      <c r="D2">
        <v>0</v>
      </c>
      <c r="E2">
        <v>0</v>
      </c>
      <c r="F2" s="19">
        <v>365</v>
      </c>
      <c r="G2" s="19">
        <v>10</v>
      </c>
      <c r="H2" s="19">
        <v>0.02</v>
      </c>
      <c r="I2" s="12">
        <v>15</v>
      </c>
      <c r="J2" s="12">
        <v>13</v>
      </c>
      <c r="K2" s="20">
        <v>1</v>
      </c>
      <c r="L2" s="20">
        <v>60</v>
      </c>
      <c r="M2" s="20">
        <v>3</v>
      </c>
      <c r="N2" s="20">
        <v>3</v>
      </c>
      <c r="O2" t="s">
        <v>68</v>
      </c>
      <c r="P2" t="s">
        <v>11</v>
      </c>
      <c r="Q2" t="s">
        <v>108</v>
      </c>
      <c r="R2" t="s">
        <v>94</v>
      </c>
      <c r="S2" t="s">
        <v>139</v>
      </c>
    </row>
    <row r="3" spans="1:19" x14ac:dyDescent="0.25">
      <c r="A3" t="s">
        <v>47</v>
      </c>
      <c r="B3" t="s">
        <v>53</v>
      </c>
      <c r="C3" t="s">
        <v>109</v>
      </c>
      <c r="D3">
        <v>0</v>
      </c>
      <c r="E3">
        <v>0</v>
      </c>
      <c r="F3" s="19">
        <v>365</v>
      </c>
      <c r="G3" s="19">
        <v>10</v>
      </c>
      <c r="H3" s="19">
        <v>0.02</v>
      </c>
      <c r="I3" s="12">
        <v>6</v>
      </c>
      <c r="J3" s="12">
        <v>11</v>
      </c>
      <c r="K3" s="20">
        <v>1</v>
      </c>
      <c r="L3" s="20">
        <v>60</v>
      </c>
      <c r="M3" s="20">
        <v>3</v>
      </c>
      <c r="N3" s="20">
        <v>3</v>
      </c>
      <c r="O3" t="s">
        <v>68</v>
      </c>
      <c r="P3" t="s">
        <v>11</v>
      </c>
      <c r="Q3" t="s">
        <v>108</v>
      </c>
      <c r="R3" t="s">
        <v>94</v>
      </c>
      <c r="S3" t="s">
        <v>139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70A17-5D9C-41BA-B99A-7B1D5DA195B8}">
  <dimension ref="A1:AL3"/>
  <sheetViews>
    <sheetView workbookViewId="0">
      <selection activeCell="O14" sqref="O14"/>
    </sheetView>
  </sheetViews>
  <sheetFormatPr defaultRowHeight="15" x14ac:dyDescent="0.25"/>
  <cols>
    <col min="1" max="1" width="11.42578125" bestFit="1" customWidth="1"/>
    <col min="2" max="2" width="15.42578125" bestFit="1" customWidth="1"/>
    <col min="3" max="3" width="7.140625" bestFit="1" customWidth="1"/>
    <col min="4" max="4" width="8.28515625" bestFit="1" customWidth="1"/>
    <col min="5" max="5" width="9.85546875" bestFit="1" customWidth="1"/>
    <col min="6" max="8" width="11.140625" customWidth="1"/>
    <col min="9" max="10" width="11.42578125" customWidth="1"/>
    <col min="11" max="12" width="8.7109375" bestFit="1" customWidth="1"/>
    <col min="13" max="14" width="7.42578125" bestFit="1" customWidth="1"/>
    <col min="15" max="15" width="44" bestFit="1" customWidth="1"/>
    <col min="17" max="18" width="7.42578125" bestFit="1" customWidth="1"/>
    <col min="19" max="19" width="8.28515625" bestFit="1" customWidth="1"/>
    <col min="20" max="20" width="8.42578125" bestFit="1" customWidth="1"/>
    <col min="23" max="23" width="8.5703125" bestFit="1" customWidth="1"/>
    <col min="29" max="30" width="8.7109375" bestFit="1" customWidth="1"/>
    <col min="33" max="34" width="13.85546875" bestFit="1" customWidth="1"/>
    <col min="35" max="35" width="8.7109375" bestFit="1" customWidth="1"/>
    <col min="36" max="36" width="14.5703125" bestFit="1" customWidth="1"/>
    <col min="37" max="37" width="42.85546875" bestFit="1" customWidth="1"/>
    <col min="38" max="38" width="7.5703125" bestFit="1" customWidth="1"/>
  </cols>
  <sheetData>
    <row r="1" spans="1:38" s="10" customFormat="1" ht="90" x14ac:dyDescent="0.25">
      <c r="A1" s="7" t="s">
        <v>4</v>
      </c>
      <c r="B1" s="7" t="s">
        <v>7</v>
      </c>
      <c r="C1" s="7" t="s">
        <v>8</v>
      </c>
      <c r="D1" s="7" t="s">
        <v>5</v>
      </c>
      <c r="E1" s="7" t="s">
        <v>6</v>
      </c>
      <c r="F1" s="17" t="s">
        <v>40</v>
      </c>
      <c r="G1" s="17" t="s">
        <v>9</v>
      </c>
      <c r="H1" s="17" t="s">
        <v>10</v>
      </c>
      <c r="I1" s="13" t="s">
        <v>54</v>
      </c>
      <c r="J1" s="13" t="s">
        <v>55</v>
      </c>
      <c r="K1" s="34" t="s">
        <v>110</v>
      </c>
      <c r="L1" s="34" t="s">
        <v>111</v>
      </c>
      <c r="M1" s="34" t="s">
        <v>112</v>
      </c>
      <c r="N1" s="34" t="s">
        <v>113</v>
      </c>
      <c r="O1" s="34" t="s">
        <v>114</v>
      </c>
      <c r="P1" s="34" t="s">
        <v>115</v>
      </c>
      <c r="Q1" s="34" t="s">
        <v>116</v>
      </c>
      <c r="R1" s="34" t="s">
        <v>117</v>
      </c>
      <c r="S1" s="18" t="s">
        <v>63</v>
      </c>
      <c r="T1" s="18" t="s">
        <v>64</v>
      </c>
      <c r="U1" s="18" t="s">
        <v>65</v>
      </c>
      <c r="V1" s="18" t="s">
        <v>66</v>
      </c>
      <c r="W1" s="7" t="s">
        <v>41</v>
      </c>
      <c r="X1" s="26" t="s">
        <v>118</v>
      </c>
      <c r="Y1" s="26" t="s">
        <v>119</v>
      </c>
      <c r="Z1" s="26" t="s">
        <v>120</v>
      </c>
      <c r="AA1" s="26" t="s">
        <v>121</v>
      </c>
      <c r="AB1" s="26" t="s">
        <v>122</v>
      </c>
      <c r="AC1" s="26" t="s">
        <v>123</v>
      </c>
      <c r="AD1" s="26" t="s">
        <v>124</v>
      </c>
      <c r="AE1" s="26" t="s">
        <v>125</v>
      </c>
      <c r="AF1" s="26" t="s">
        <v>126</v>
      </c>
      <c r="AG1" s="26" t="s">
        <v>127</v>
      </c>
      <c r="AH1" s="34" t="s">
        <v>128</v>
      </c>
      <c r="AI1" s="7" t="s">
        <v>35</v>
      </c>
      <c r="AJ1" s="7" t="s">
        <v>138</v>
      </c>
      <c r="AK1" s="7" t="s">
        <v>43</v>
      </c>
      <c r="AL1" s="7" t="s">
        <v>67</v>
      </c>
    </row>
    <row r="2" spans="1:38" x14ac:dyDescent="0.25">
      <c r="A2" t="s">
        <v>47</v>
      </c>
      <c r="B2" t="s">
        <v>53</v>
      </c>
      <c r="C2" t="s">
        <v>49</v>
      </c>
      <c r="D2">
        <v>0</v>
      </c>
      <c r="E2">
        <v>0</v>
      </c>
      <c r="F2" s="19">
        <v>365</v>
      </c>
      <c r="G2" s="19">
        <v>10</v>
      </c>
      <c r="H2" s="19">
        <v>0.02</v>
      </c>
      <c r="I2" s="12">
        <v>24</v>
      </c>
      <c r="J2" s="12">
        <v>24</v>
      </c>
      <c r="K2" s="19">
        <v>1</v>
      </c>
      <c r="L2" s="19">
        <v>0.5</v>
      </c>
      <c r="M2" s="19">
        <v>1</v>
      </c>
      <c r="N2" s="19">
        <v>0.4</v>
      </c>
      <c r="O2" s="19" t="s">
        <v>132</v>
      </c>
      <c r="P2" s="19">
        <v>0.6</v>
      </c>
      <c r="Q2" s="19">
        <v>1</v>
      </c>
      <c r="R2" s="19">
        <v>0.3</v>
      </c>
      <c r="S2" s="20">
        <v>1</v>
      </c>
      <c r="T2" s="20">
        <v>60</v>
      </c>
      <c r="U2" s="20">
        <v>10</v>
      </c>
      <c r="V2" s="20">
        <v>10</v>
      </c>
      <c r="W2" t="s">
        <v>68</v>
      </c>
      <c r="X2" s="30" t="b">
        <v>0</v>
      </c>
      <c r="Y2" s="30">
        <v>100</v>
      </c>
      <c r="Z2" s="30">
        <v>200</v>
      </c>
      <c r="AA2" s="30" t="s">
        <v>129</v>
      </c>
      <c r="AB2" s="30" t="s">
        <v>130</v>
      </c>
      <c r="AC2" s="30">
        <v>2</v>
      </c>
      <c r="AD2" s="30">
        <v>3</v>
      </c>
      <c r="AE2" s="30">
        <v>2</v>
      </c>
      <c r="AF2" s="30">
        <v>3</v>
      </c>
      <c r="AG2" s="30" t="s">
        <v>131</v>
      </c>
      <c r="AH2" s="19" t="s">
        <v>143</v>
      </c>
      <c r="AI2" t="s">
        <v>11</v>
      </c>
      <c r="AJ2" t="s">
        <v>108</v>
      </c>
      <c r="AK2" t="s">
        <v>94</v>
      </c>
      <c r="AL2" t="s">
        <v>139</v>
      </c>
    </row>
    <row r="3" spans="1:38" x14ac:dyDescent="0.25">
      <c r="A3" t="s">
        <v>47</v>
      </c>
      <c r="B3" t="s">
        <v>53</v>
      </c>
      <c r="C3" t="s">
        <v>109</v>
      </c>
      <c r="D3">
        <v>0</v>
      </c>
      <c r="E3">
        <v>0</v>
      </c>
      <c r="F3" s="19">
        <v>365</v>
      </c>
      <c r="G3" s="19">
        <v>10</v>
      </c>
      <c r="H3" s="19">
        <v>0.02</v>
      </c>
      <c r="I3" s="12">
        <v>24</v>
      </c>
      <c r="J3" s="12">
        <v>24</v>
      </c>
      <c r="K3" s="19">
        <v>1</v>
      </c>
      <c r="L3" s="19">
        <v>0.5</v>
      </c>
      <c r="M3" s="19">
        <v>1</v>
      </c>
      <c r="N3" s="19">
        <v>0.4</v>
      </c>
      <c r="O3" s="19" t="s">
        <v>132</v>
      </c>
      <c r="P3" s="19">
        <v>0.6</v>
      </c>
      <c r="Q3" s="19">
        <v>1</v>
      </c>
      <c r="R3" s="19">
        <v>0.3</v>
      </c>
      <c r="S3" s="20">
        <v>1</v>
      </c>
      <c r="T3" s="20">
        <v>60</v>
      </c>
      <c r="U3" s="20">
        <v>10</v>
      </c>
      <c r="V3" s="20">
        <v>10</v>
      </c>
      <c r="W3" t="s">
        <v>68</v>
      </c>
      <c r="X3" s="30" t="b">
        <v>0</v>
      </c>
      <c r="Y3" s="30">
        <v>100</v>
      </c>
      <c r="Z3" s="30">
        <v>200</v>
      </c>
      <c r="AA3" s="30" t="s">
        <v>129</v>
      </c>
      <c r="AB3" s="30" t="s">
        <v>130</v>
      </c>
      <c r="AC3" s="30">
        <v>2</v>
      </c>
      <c r="AD3" s="30">
        <v>3</v>
      </c>
      <c r="AE3" s="30">
        <v>2</v>
      </c>
      <c r="AF3" s="30">
        <v>3</v>
      </c>
      <c r="AG3" s="30" t="s">
        <v>131</v>
      </c>
      <c r="AH3" s="19" t="s">
        <v>143</v>
      </c>
      <c r="AI3" t="s">
        <v>11</v>
      </c>
      <c r="AJ3" t="s">
        <v>108</v>
      </c>
      <c r="AK3" t="s">
        <v>94</v>
      </c>
      <c r="AL3" t="s">
        <v>139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9C8AB-2E65-4CDC-84E1-9CD10D7B33D4}">
  <dimension ref="A1:AK2"/>
  <sheetViews>
    <sheetView topLeftCell="B1" workbookViewId="0">
      <selection activeCell="S23" sqref="S23"/>
    </sheetView>
  </sheetViews>
  <sheetFormatPr defaultRowHeight="15" x14ac:dyDescent="0.25"/>
  <cols>
    <col min="1" max="1" width="11.42578125" bestFit="1" customWidth="1"/>
    <col min="2" max="2" width="9.42578125" bestFit="1" customWidth="1"/>
    <col min="3" max="3" width="7.140625" bestFit="1" customWidth="1"/>
    <col min="4" max="5" width="10.28515625" bestFit="1" customWidth="1"/>
    <col min="6" max="6" width="9" bestFit="1" customWidth="1"/>
    <col min="7" max="8" width="8.42578125" bestFit="1" customWidth="1"/>
    <col min="9" max="9" width="10.85546875" customWidth="1"/>
    <col min="10" max="10" width="11" customWidth="1"/>
    <col min="11" max="11" width="8.5703125" bestFit="1" customWidth="1"/>
    <col min="12" max="12" width="6.85546875" bestFit="1" customWidth="1"/>
    <col min="14" max="14" width="7.7109375" bestFit="1" customWidth="1"/>
    <col min="15" max="16" width="8.7109375" bestFit="1" customWidth="1"/>
    <col min="17" max="18" width="7.42578125" bestFit="1" customWidth="1"/>
    <col min="19" max="19" width="44" bestFit="1" customWidth="1"/>
    <col min="21" max="22" width="7.42578125" bestFit="1" customWidth="1"/>
    <col min="28" max="29" width="8.7109375" bestFit="1" customWidth="1"/>
    <col min="32" max="32" width="13.85546875" bestFit="1" customWidth="1"/>
    <col min="33" max="33" width="10.7109375" bestFit="1" customWidth="1"/>
    <col min="34" max="34" width="8.7109375" bestFit="1" customWidth="1"/>
    <col min="35" max="35" width="14.5703125" bestFit="1" customWidth="1"/>
    <col min="36" max="36" width="42.85546875" bestFit="1" customWidth="1"/>
  </cols>
  <sheetData>
    <row r="1" spans="1:37" s="10" customFormat="1" ht="90" x14ac:dyDescent="0.25">
      <c r="A1" s="7" t="s">
        <v>4</v>
      </c>
      <c r="B1" s="7" t="s">
        <v>7</v>
      </c>
      <c r="C1" s="7" t="s">
        <v>8</v>
      </c>
      <c r="D1" s="7" t="s">
        <v>5</v>
      </c>
      <c r="E1" s="7" t="s">
        <v>6</v>
      </c>
      <c r="F1" s="17" t="s">
        <v>40</v>
      </c>
      <c r="G1" s="17" t="s">
        <v>9</v>
      </c>
      <c r="H1" s="17" t="s">
        <v>10</v>
      </c>
      <c r="I1" s="35" t="s">
        <v>54</v>
      </c>
      <c r="J1" s="35" t="s">
        <v>55</v>
      </c>
      <c r="K1" s="7" t="s">
        <v>41</v>
      </c>
      <c r="L1" s="7" t="s">
        <v>133</v>
      </c>
      <c r="M1" s="7" t="s">
        <v>134</v>
      </c>
      <c r="N1" s="7" t="s">
        <v>135</v>
      </c>
      <c r="O1" s="34" t="s">
        <v>110</v>
      </c>
      <c r="P1" s="34" t="s">
        <v>111</v>
      </c>
      <c r="Q1" s="34" t="s">
        <v>112</v>
      </c>
      <c r="R1" s="34" t="s">
        <v>113</v>
      </c>
      <c r="S1" s="34" t="s">
        <v>114</v>
      </c>
      <c r="T1" s="34" t="s">
        <v>115</v>
      </c>
      <c r="U1" s="34" t="s">
        <v>116</v>
      </c>
      <c r="V1" s="34" t="s">
        <v>117</v>
      </c>
      <c r="W1" s="26" t="s">
        <v>118</v>
      </c>
      <c r="X1" s="26" t="s">
        <v>119</v>
      </c>
      <c r="Y1" s="26" t="s">
        <v>120</v>
      </c>
      <c r="Z1" s="26" t="s">
        <v>121</v>
      </c>
      <c r="AA1" s="26" t="s">
        <v>122</v>
      </c>
      <c r="AB1" s="26" t="s">
        <v>123</v>
      </c>
      <c r="AC1" s="26" t="s">
        <v>124</v>
      </c>
      <c r="AD1" s="26" t="s">
        <v>125</v>
      </c>
      <c r="AE1" s="26" t="s">
        <v>126</v>
      </c>
      <c r="AF1" s="26" t="s">
        <v>127</v>
      </c>
      <c r="AG1" s="26" t="s">
        <v>128</v>
      </c>
      <c r="AH1" s="7" t="s">
        <v>35</v>
      </c>
      <c r="AI1" s="7" t="s">
        <v>138</v>
      </c>
      <c r="AJ1" s="7" t="s">
        <v>43</v>
      </c>
      <c r="AK1" s="11" t="s">
        <v>67</v>
      </c>
    </row>
    <row r="2" spans="1:37" x14ac:dyDescent="0.25">
      <c r="A2" t="s">
        <v>47</v>
      </c>
      <c r="B2" t="s">
        <v>136</v>
      </c>
      <c r="C2" t="s">
        <v>49</v>
      </c>
      <c r="D2">
        <v>6.2270000000808068E-4</v>
      </c>
      <c r="E2">
        <v>3.6642000000002284E-3</v>
      </c>
      <c r="F2" s="19">
        <v>365</v>
      </c>
      <c r="G2" s="19">
        <v>20</v>
      </c>
      <c r="H2" s="19">
        <v>0.02</v>
      </c>
      <c r="I2" s="30">
        <v>24</v>
      </c>
      <c r="J2" s="30">
        <v>24</v>
      </c>
      <c r="K2" t="s">
        <v>68</v>
      </c>
      <c r="L2">
        <v>0</v>
      </c>
      <c r="M2">
        <v>1E-4</v>
      </c>
      <c r="N2">
        <v>1</v>
      </c>
      <c r="O2" s="19">
        <v>1</v>
      </c>
      <c r="P2" s="19">
        <v>0.5</v>
      </c>
      <c r="Q2" s="19">
        <v>1</v>
      </c>
      <c r="R2" s="19">
        <v>0.4</v>
      </c>
      <c r="S2" s="19" t="s">
        <v>173</v>
      </c>
      <c r="T2" s="19">
        <v>0.6</v>
      </c>
      <c r="U2" s="19">
        <v>1</v>
      </c>
      <c r="V2" s="19">
        <v>0.3</v>
      </c>
      <c r="W2" s="30" t="b">
        <v>0</v>
      </c>
      <c r="X2" s="30">
        <v>100</v>
      </c>
      <c r="Y2" s="30">
        <v>200</v>
      </c>
      <c r="Z2" s="30" t="s">
        <v>129</v>
      </c>
      <c r="AA2" s="30" t="s">
        <v>137</v>
      </c>
      <c r="AB2" s="30">
        <v>2</v>
      </c>
      <c r="AC2" s="30">
        <v>3</v>
      </c>
      <c r="AD2" s="30">
        <v>2</v>
      </c>
      <c r="AE2" s="30">
        <v>3</v>
      </c>
      <c r="AF2" s="30" t="s">
        <v>131</v>
      </c>
      <c r="AG2" s="30" t="s">
        <v>143</v>
      </c>
      <c r="AH2" t="s">
        <v>11</v>
      </c>
      <c r="AI2" t="s">
        <v>108</v>
      </c>
      <c r="AJ2" t="s">
        <v>94</v>
      </c>
      <c r="AK2" t="s">
        <v>139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3"/>
  <sheetViews>
    <sheetView workbookViewId="0">
      <selection activeCell="M15" sqref="M15"/>
    </sheetView>
  </sheetViews>
  <sheetFormatPr defaultRowHeight="15" x14ac:dyDescent="0.25"/>
  <cols>
    <col min="1" max="1" width="11.140625" bestFit="1" customWidth="1"/>
    <col min="2" max="2" width="6.85546875" bestFit="1" customWidth="1"/>
    <col min="3" max="3" width="24.42578125" bestFit="1" customWidth="1"/>
    <col min="4" max="4" width="11.140625" bestFit="1" customWidth="1"/>
    <col min="5" max="5" width="16.85546875" bestFit="1" customWidth="1"/>
    <col min="6" max="6" width="11.140625" bestFit="1" customWidth="1"/>
    <col min="7" max="7" width="10" style="4" bestFit="1" customWidth="1"/>
    <col min="8" max="9" width="7.7109375" bestFit="1" customWidth="1"/>
    <col min="10" max="10" width="7.85546875" customWidth="1"/>
    <col min="11" max="11" width="16.85546875" bestFit="1" customWidth="1"/>
    <col min="12" max="12" width="16.5703125" bestFit="1" customWidth="1"/>
    <col min="13" max="13" width="18.28515625" bestFit="1" customWidth="1"/>
    <col min="14" max="14" width="18.7109375" customWidth="1"/>
    <col min="15" max="15" width="42.28515625" bestFit="1" customWidth="1"/>
    <col min="16" max="16" width="11.28515625" bestFit="1" customWidth="1"/>
    <col min="17" max="17" width="47.140625" bestFit="1" customWidth="1"/>
    <col min="18" max="18" width="16.85546875" bestFit="1" customWidth="1"/>
  </cols>
  <sheetData>
    <row r="1" spans="1:18" s="10" customFormat="1" ht="75" x14ac:dyDescent="0.25">
      <c r="A1" s="7" t="s">
        <v>4</v>
      </c>
      <c r="B1" s="7" t="s">
        <v>8</v>
      </c>
      <c r="C1" s="7" t="s">
        <v>7</v>
      </c>
      <c r="D1" s="8" t="s">
        <v>40</v>
      </c>
      <c r="E1" s="8" t="s">
        <v>9</v>
      </c>
      <c r="F1" s="8" t="s">
        <v>10</v>
      </c>
      <c r="G1" s="7" t="s">
        <v>41</v>
      </c>
      <c r="H1" s="9" t="s">
        <v>38</v>
      </c>
      <c r="I1" s="15" t="s">
        <v>61</v>
      </c>
      <c r="J1" s="15" t="s">
        <v>62</v>
      </c>
      <c r="K1" s="14" t="s">
        <v>56</v>
      </c>
      <c r="L1" s="14" t="s">
        <v>57</v>
      </c>
      <c r="M1" s="14" t="s">
        <v>58</v>
      </c>
      <c r="N1" s="14" t="s">
        <v>59</v>
      </c>
      <c r="O1" s="14" t="s">
        <v>60</v>
      </c>
      <c r="P1" s="9" t="s">
        <v>36</v>
      </c>
      <c r="Q1" s="7" t="s">
        <v>138</v>
      </c>
      <c r="R1" s="11" t="s">
        <v>67</v>
      </c>
    </row>
    <row r="2" spans="1:18" s="2" customFormat="1" x14ac:dyDescent="0.25">
      <c r="A2" t="s">
        <v>47</v>
      </c>
      <c r="B2" t="s">
        <v>48</v>
      </c>
      <c r="C2" t="s">
        <v>175</v>
      </c>
      <c r="D2" s="6">
        <v>365</v>
      </c>
      <c r="E2" s="6">
        <v>20</v>
      </c>
      <c r="F2" s="6">
        <v>0.02</v>
      </c>
      <c r="G2" s="4" t="s">
        <v>42</v>
      </c>
      <c r="H2">
        <v>1</v>
      </c>
      <c r="I2" s="16">
        <v>4</v>
      </c>
      <c r="J2" s="16">
        <v>20</v>
      </c>
      <c r="K2" s="12">
        <v>0</v>
      </c>
      <c r="L2" s="12">
        <v>0.1</v>
      </c>
      <c r="M2" s="12">
        <v>5</v>
      </c>
      <c r="N2" s="12">
        <v>9</v>
      </c>
      <c r="O2" s="12" t="s">
        <v>174</v>
      </c>
      <c r="P2" t="s">
        <v>51</v>
      </c>
      <c r="Q2" t="s">
        <v>140</v>
      </c>
      <c r="R2" s="2" t="s">
        <v>144</v>
      </c>
    </row>
    <row r="3" spans="1:18" s="2" customFormat="1" x14ac:dyDescent="0.25">
      <c r="A3" t="s">
        <v>47</v>
      </c>
      <c r="B3" t="s">
        <v>163</v>
      </c>
      <c r="C3" t="s">
        <v>175</v>
      </c>
      <c r="D3" s="6">
        <v>365</v>
      </c>
      <c r="E3" s="6">
        <v>20</v>
      </c>
      <c r="F3" s="6">
        <v>0.02</v>
      </c>
      <c r="G3" s="4" t="s">
        <v>42</v>
      </c>
      <c r="H3">
        <v>1</v>
      </c>
      <c r="I3" s="16">
        <v>4</v>
      </c>
      <c r="J3" s="16">
        <v>20</v>
      </c>
      <c r="K3" s="12">
        <v>0</v>
      </c>
      <c r="L3" s="12">
        <v>0.1</v>
      </c>
      <c r="M3" s="12">
        <v>5</v>
      </c>
      <c r="N3" s="12">
        <v>9</v>
      </c>
      <c r="O3" s="12" t="s">
        <v>174</v>
      </c>
      <c r="P3" t="s">
        <v>164</v>
      </c>
      <c r="Q3" t="s">
        <v>165</v>
      </c>
      <c r="R3" s="2" t="s">
        <v>144</v>
      </c>
    </row>
  </sheetData>
  <phoneticPr fontId="3" type="noConversion"/>
  <pageMargins left="0.75" right="0.75" top="1" bottom="1" header="0.5" footer="0.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9DB9A-93FD-4E85-ABCE-5F67617577C2}">
  <dimension ref="A1:M2"/>
  <sheetViews>
    <sheetView tabSelected="1" workbookViewId="0">
      <selection activeCell="G10" sqref="G10"/>
    </sheetView>
  </sheetViews>
  <sheetFormatPr defaultRowHeight="15" x14ac:dyDescent="0.25"/>
  <cols>
    <col min="1" max="1" width="11.42578125" bestFit="1" customWidth="1"/>
    <col min="2" max="2" width="27.140625" bestFit="1" customWidth="1"/>
    <col min="3" max="3" width="7.140625" bestFit="1" customWidth="1"/>
    <col min="4" max="4" width="13" customWidth="1"/>
    <col min="5" max="6" width="12.7109375" customWidth="1"/>
    <col min="7" max="7" width="14.140625" customWidth="1"/>
    <col min="8" max="8" width="13" customWidth="1"/>
    <col min="9" max="11" width="12" customWidth="1"/>
    <col min="12" max="12" width="15.140625" bestFit="1" customWidth="1"/>
    <col min="13" max="13" width="14.5703125" bestFit="1" customWidth="1"/>
  </cols>
  <sheetData>
    <row r="1" spans="1:13" ht="90" x14ac:dyDescent="0.25">
      <c r="A1" s="7" t="s">
        <v>4</v>
      </c>
      <c r="B1" s="7" t="s">
        <v>7</v>
      </c>
      <c r="C1" s="7" t="s">
        <v>8</v>
      </c>
      <c r="D1" s="7" t="s">
        <v>149</v>
      </c>
      <c r="E1" s="32" t="s">
        <v>159</v>
      </c>
      <c r="F1" s="32" t="s">
        <v>160</v>
      </c>
      <c r="G1" s="34" t="s">
        <v>177</v>
      </c>
      <c r="H1" s="34" t="s">
        <v>178</v>
      </c>
      <c r="I1" s="25" t="s">
        <v>150</v>
      </c>
      <c r="J1" s="25" t="s">
        <v>151</v>
      </c>
      <c r="K1" s="25" t="s">
        <v>152</v>
      </c>
      <c r="L1" s="7" t="s">
        <v>67</v>
      </c>
      <c r="M1" s="7" t="s">
        <v>138</v>
      </c>
    </row>
    <row r="2" spans="1:13" x14ac:dyDescent="0.25">
      <c r="A2" t="s">
        <v>47</v>
      </c>
      <c r="B2" t="s">
        <v>154</v>
      </c>
      <c r="C2" t="s">
        <v>162</v>
      </c>
      <c r="D2">
        <v>5</v>
      </c>
      <c r="E2" s="33">
        <v>500</v>
      </c>
      <c r="F2" s="33">
        <v>3000</v>
      </c>
      <c r="G2" s="19">
        <v>180</v>
      </c>
      <c r="H2" s="19">
        <v>21600</v>
      </c>
      <c r="I2" s="29">
        <v>0.3</v>
      </c>
      <c r="J2" s="29">
        <v>3</v>
      </c>
      <c r="K2" s="29">
        <v>3</v>
      </c>
      <c r="L2" t="s">
        <v>155</v>
      </c>
      <c r="M2" t="s">
        <v>108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5764C-59A0-48A4-9754-9293D351F91B}">
  <dimension ref="A1:I2"/>
  <sheetViews>
    <sheetView workbookViewId="0">
      <selection activeCell="F10" sqref="F10"/>
    </sheetView>
  </sheetViews>
  <sheetFormatPr defaultRowHeight="15" x14ac:dyDescent="0.25"/>
  <cols>
    <col min="1" max="1" width="11.42578125" bestFit="1" customWidth="1"/>
    <col min="2" max="2" width="26.28515625" bestFit="1" customWidth="1"/>
    <col min="3" max="3" width="7.140625" bestFit="1" customWidth="1"/>
    <col min="4" max="4" width="12.28515625" customWidth="1"/>
    <col min="5" max="5" width="19.85546875" customWidth="1"/>
    <col min="6" max="6" width="22.28515625" customWidth="1"/>
    <col min="7" max="7" width="17.85546875" customWidth="1"/>
    <col min="8" max="8" width="15.140625" bestFit="1" customWidth="1"/>
    <col min="9" max="9" width="14.5703125" bestFit="1" customWidth="1"/>
  </cols>
  <sheetData>
    <row r="1" spans="1:9" ht="45" x14ac:dyDescent="0.25">
      <c r="A1" s="7" t="s">
        <v>4</v>
      </c>
      <c r="B1" s="7" t="s">
        <v>7</v>
      </c>
      <c r="C1" s="7" t="s">
        <v>8</v>
      </c>
      <c r="D1" s="7" t="s">
        <v>149</v>
      </c>
      <c r="E1" s="36" t="s">
        <v>150</v>
      </c>
      <c r="F1" s="36" t="s">
        <v>151</v>
      </c>
      <c r="G1" s="36" t="s">
        <v>152</v>
      </c>
      <c r="H1" s="7" t="s">
        <v>67</v>
      </c>
      <c r="I1" s="7" t="s">
        <v>138</v>
      </c>
    </row>
    <row r="2" spans="1:9" x14ac:dyDescent="0.25">
      <c r="A2" t="s">
        <v>47</v>
      </c>
      <c r="B2" t="s">
        <v>153</v>
      </c>
      <c r="C2" t="s">
        <v>161</v>
      </c>
      <c r="D2">
        <v>2</v>
      </c>
      <c r="E2" s="37">
        <v>0.3</v>
      </c>
      <c r="F2" s="37">
        <v>20</v>
      </c>
      <c r="G2" s="37">
        <v>20</v>
      </c>
      <c r="H2" t="s">
        <v>156</v>
      </c>
      <c r="I2" t="s">
        <v>108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AD4290-2460-4C37-84AA-1F2DBF51FDF7}">
  <dimension ref="A1:Y3"/>
  <sheetViews>
    <sheetView workbookViewId="0">
      <selection activeCell="H14" sqref="H14"/>
    </sheetView>
  </sheetViews>
  <sheetFormatPr defaultRowHeight="15" x14ac:dyDescent="0.25"/>
  <cols>
    <col min="1" max="1" width="11.140625" bestFit="1" customWidth="1"/>
    <col min="2" max="2" width="15.5703125" bestFit="1" customWidth="1"/>
    <col min="3" max="3" width="6.85546875" bestFit="1" customWidth="1"/>
    <col min="4" max="4" width="8.28515625" bestFit="1" customWidth="1"/>
    <col min="5" max="5" width="15.7109375" bestFit="1" customWidth="1"/>
    <col min="6" max="6" width="13.7109375" customWidth="1"/>
    <col min="7" max="9" width="11.5703125" customWidth="1"/>
    <col min="10" max="10" width="8" bestFit="1" customWidth="1"/>
    <col min="11" max="11" width="8.28515625" bestFit="1" customWidth="1"/>
    <col min="12" max="13" width="6.28515625" bestFit="1" customWidth="1"/>
    <col min="14" max="14" width="8" bestFit="1" customWidth="1"/>
    <col min="15" max="16" width="7.28515625" bestFit="1" customWidth="1"/>
    <col min="17" max="17" width="8" bestFit="1" customWidth="1"/>
    <col min="18" max="23" width="13" customWidth="1"/>
    <col min="24" max="24" width="63.7109375" bestFit="1" customWidth="1"/>
    <col min="25" max="25" width="14" bestFit="1" customWidth="1"/>
  </cols>
  <sheetData>
    <row r="1" spans="1:25" s="2" customFormat="1" ht="105" x14ac:dyDescent="0.25">
      <c r="A1" s="7" t="s">
        <v>4</v>
      </c>
      <c r="B1" s="7" t="s">
        <v>7</v>
      </c>
      <c r="C1" s="7" t="s">
        <v>8</v>
      </c>
      <c r="D1" s="7" t="s">
        <v>41</v>
      </c>
      <c r="E1" s="7" t="s">
        <v>92</v>
      </c>
      <c r="F1" s="21" t="s">
        <v>93</v>
      </c>
      <c r="G1" s="22" t="s">
        <v>9</v>
      </c>
      <c r="H1" s="8" t="s">
        <v>40</v>
      </c>
      <c r="I1" s="8" t="s">
        <v>10</v>
      </c>
      <c r="J1" s="23" t="s">
        <v>72</v>
      </c>
      <c r="K1" s="23" t="s">
        <v>73</v>
      </c>
      <c r="L1" s="24" t="s">
        <v>74</v>
      </c>
      <c r="M1" s="24" t="s">
        <v>75</v>
      </c>
      <c r="N1" s="24" t="s">
        <v>76</v>
      </c>
      <c r="O1" s="25" t="s">
        <v>77</v>
      </c>
      <c r="P1" s="25" t="s">
        <v>78</v>
      </c>
      <c r="Q1" s="25" t="s">
        <v>79</v>
      </c>
      <c r="R1" s="26" t="s">
        <v>80</v>
      </c>
      <c r="S1" s="26" t="s">
        <v>81</v>
      </c>
      <c r="T1" s="26" t="s">
        <v>82</v>
      </c>
      <c r="U1" s="26" t="s">
        <v>83</v>
      </c>
      <c r="V1" s="26" t="s">
        <v>84</v>
      </c>
      <c r="W1" s="26" t="s">
        <v>85</v>
      </c>
      <c r="X1" s="7" t="s">
        <v>138</v>
      </c>
      <c r="Y1" s="7" t="s">
        <v>67</v>
      </c>
    </row>
    <row r="2" spans="1:25" x14ac:dyDescent="0.25">
      <c r="A2" t="s">
        <v>47</v>
      </c>
      <c r="B2" t="s">
        <v>86</v>
      </c>
      <c r="C2" s="27" t="s">
        <v>87</v>
      </c>
      <c r="D2" s="4" t="s">
        <v>88</v>
      </c>
      <c r="E2" t="s">
        <v>89</v>
      </c>
      <c r="F2" t="s">
        <v>37</v>
      </c>
      <c r="G2" s="6">
        <v>2</v>
      </c>
      <c r="H2" s="6">
        <v>365</v>
      </c>
      <c r="I2" s="6">
        <v>4.3276E-3</v>
      </c>
      <c r="J2">
        <v>2</v>
      </c>
      <c r="K2">
        <v>1</v>
      </c>
      <c r="L2" s="28">
        <v>0</v>
      </c>
      <c r="M2" s="28">
        <v>365</v>
      </c>
      <c r="N2" s="28">
        <v>0.34166999999999997</v>
      </c>
      <c r="O2" s="29">
        <v>0</v>
      </c>
      <c r="P2" s="29">
        <v>365</v>
      </c>
      <c r="Q2" s="29">
        <v>0.14960999999999999</v>
      </c>
      <c r="R2" s="30">
        <v>1</v>
      </c>
      <c r="S2" s="30">
        <v>2</v>
      </c>
      <c r="T2" s="30">
        <v>1E-3</v>
      </c>
      <c r="U2" s="31">
        <v>3000</v>
      </c>
      <c r="V2" s="31">
        <v>10000</v>
      </c>
      <c r="W2" s="31">
        <v>5000</v>
      </c>
      <c r="X2" t="s">
        <v>141</v>
      </c>
      <c r="Y2" t="s">
        <v>145</v>
      </c>
    </row>
    <row r="3" spans="1:25" x14ac:dyDescent="0.25">
      <c r="A3" t="s">
        <v>47</v>
      </c>
      <c r="B3" t="s">
        <v>86</v>
      </c>
      <c r="C3" s="27" t="s">
        <v>90</v>
      </c>
      <c r="D3" s="4" t="s">
        <v>88</v>
      </c>
      <c r="E3" t="s">
        <v>91</v>
      </c>
      <c r="F3" t="s">
        <v>29</v>
      </c>
      <c r="G3" s="6">
        <v>2</v>
      </c>
      <c r="H3" s="6">
        <v>365</v>
      </c>
      <c r="I3" s="6">
        <v>4.3276E-3</v>
      </c>
      <c r="J3">
        <v>2</v>
      </c>
      <c r="K3">
        <v>1</v>
      </c>
      <c r="L3" s="28">
        <v>0</v>
      </c>
      <c r="M3" s="28">
        <v>365</v>
      </c>
      <c r="N3" s="28">
        <v>0.34166999999999997</v>
      </c>
      <c r="O3" s="29">
        <v>0</v>
      </c>
      <c r="P3" s="29">
        <v>365</v>
      </c>
      <c r="Q3" s="29">
        <v>0.14960999999999999</v>
      </c>
      <c r="R3" s="30">
        <v>1</v>
      </c>
      <c r="S3" s="30">
        <v>2</v>
      </c>
      <c r="T3" s="30">
        <v>1E-3</v>
      </c>
      <c r="U3" s="31">
        <v>3000</v>
      </c>
      <c r="V3" s="31">
        <v>10000</v>
      </c>
      <c r="W3" s="31">
        <v>5000</v>
      </c>
      <c r="X3" t="s">
        <v>142</v>
      </c>
      <c r="Y3" t="s">
        <v>145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57F51-8B1A-4F0A-A196-97EDC5E724F9}">
  <dimension ref="A1:C4"/>
  <sheetViews>
    <sheetView workbookViewId="0">
      <selection activeCell="O30" sqref="O30"/>
    </sheetView>
  </sheetViews>
  <sheetFormatPr defaultRowHeight="15" x14ac:dyDescent="0.25"/>
  <cols>
    <col min="1" max="1" width="11.42578125" bestFit="1" customWidth="1"/>
    <col min="2" max="2" width="8.85546875" bestFit="1" customWidth="1"/>
    <col min="3" max="3" width="10.5703125" bestFit="1" customWidth="1"/>
  </cols>
  <sheetData>
    <row r="1" spans="1:3" x14ac:dyDescent="0.25">
      <c r="A1" s="11" t="s">
        <v>4</v>
      </c>
      <c r="B1" s="11" t="s">
        <v>8</v>
      </c>
      <c r="C1" s="11" t="s">
        <v>7</v>
      </c>
    </row>
    <row r="2" spans="1:3" x14ac:dyDescent="0.25">
      <c r="A2" t="s">
        <v>47</v>
      </c>
      <c r="B2" t="s">
        <v>69</v>
      </c>
      <c r="C2" t="s">
        <v>50</v>
      </c>
    </row>
    <row r="3" spans="1:3" x14ac:dyDescent="0.25">
      <c r="A3" t="s">
        <v>47</v>
      </c>
      <c r="B3" t="s">
        <v>70</v>
      </c>
      <c r="C3" t="s">
        <v>50</v>
      </c>
    </row>
    <row r="4" spans="1:3" x14ac:dyDescent="0.25">
      <c r="A4" t="s">
        <v>47</v>
      </c>
      <c r="B4" t="s">
        <v>71</v>
      </c>
      <c r="C4" t="s">
        <v>50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5659F-EBB3-407C-AE55-FCBF01FB0933}">
  <dimension ref="A1:S2"/>
  <sheetViews>
    <sheetView workbookViewId="0">
      <selection activeCell="J13" sqref="J13"/>
    </sheetView>
  </sheetViews>
  <sheetFormatPr defaultRowHeight="15" x14ac:dyDescent="0.25"/>
  <cols>
    <col min="1" max="1" width="11.42578125" bestFit="1" customWidth="1"/>
    <col min="2" max="2" width="7.140625" bestFit="1" customWidth="1"/>
    <col min="3" max="5" width="13.42578125" customWidth="1"/>
    <col min="6" max="16" width="14.28515625" customWidth="1"/>
    <col min="17" max="17" width="9.7109375" bestFit="1" customWidth="1"/>
    <col min="18" max="18" width="63.7109375" bestFit="1" customWidth="1"/>
    <col min="19" max="19" width="13.42578125" bestFit="1" customWidth="1"/>
  </cols>
  <sheetData>
    <row r="1" spans="1:19" s="10" customFormat="1" ht="60" x14ac:dyDescent="0.25">
      <c r="A1" s="7" t="s">
        <v>4</v>
      </c>
      <c r="B1" s="7" t="s">
        <v>8</v>
      </c>
      <c r="C1" s="8" t="s">
        <v>9</v>
      </c>
      <c r="D1" s="8" t="s">
        <v>40</v>
      </c>
      <c r="E1" s="8" t="s">
        <v>10</v>
      </c>
      <c r="F1" s="32" t="s">
        <v>95</v>
      </c>
      <c r="G1" s="32" t="s">
        <v>96</v>
      </c>
      <c r="H1" s="32" t="s">
        <v>97</v>
      </c>
      <c r="I1" s="32" t="s">
        <v>98</v>
      </c>
      <c r="J1" s="14" t="s">
        <v>99</v>
      </c>
      <c r="K1" s="14" t="s">
        <v>100</v>
      </c>
      <c r="L1" s="14" t="s">
        <v>101</v>
      </c>
      <c r="M1" s="14" t="s">
        <v>102</v>
      </c>
      <c r="N1" s="34" t="s">
        <v>103</v>
      </c>
      <c r="O1" s="34" t="s">
        <v>104</v>
      </c>
      <c r="P1" s="34" t="s">
        <v>105</v>
      </c>
      <c r="Q1" s="7" t="s">
        <v>7</v>
      </c>
      <c r="R1" s="7" t="s">
        <v>138</v>
      </c>
      <c r="S1" s="11" t="s">
        <v>67</v>
      </c>
    </row>
    <row r="2" spans="1:19" x14ac:dyDescent="0.25">
      <c r="A2" t="s">
        <v>47</v>
      </c>
      <c r="B2" t="s">
        <v>106</v>
      </c>
      <c r="C2" s="6">
        <v>0</v>
      </c>
      <c r="D2" s="6">
        <v>365</v>
      </c>
      <c r="E2" s="6">
        <v>1E-4</v>
      </c>
      <c r="F2" s="33">
        <v>0.75</v>
      </c>
      <c r="G2" s="33">
        <v>1</v>
      </c>
      <c r="H2" s="33">
        <v>1</v>
      </c>
      <c r="I2" s="33">
        <v>0.9</v>
      </c>
      <c r="J2" s="12">
        <v>0.25</v>
      </c>
      <c r="K2" s="12">
        <v>2</v>
      </c>
      <c r="L2" s="12">
        <v>2</v>
      </c>
      <c r="M2" s="12">
        <v>0</v>
      </c>
      <c r="N2" s="19">
        <v>10</v>
      </c>
      <c r="O2" s="19">
        <v>10</v>
      </c>
      <c r="P2" s="19">
        <v>0.98</v>
      </c>
      <c r="Q2" t="s">
        <v>107</v>
      </c>
      <c r="R2" t="s">
        <v>142</v>
      </c>
      <c r="S2" t="s">
        <v>146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0323A-AA8D-4192-A121-B75F269C58B7}">
  <dimension ref="A1:G13"/>
  <sheetViews>
    <sheetView workbookViewId="0">
      <selection activeCell="G34" sqref="G34"/>
    </sheetView>
  </sheetViews>
  <sheetFormatPr defaultRowHeight="15" x14ac:dyDescent="0.25"/>
  <cols>
    <col min="1" max="1" width="10.85546875" bestFit="1" customWidth="1"/>
    <col min="2" max="2" width="15.42578125" bestFit="1" customWidth="1"/>
    <col min="3" max="3" width="18.7109375" bestFit="1" customWidth="1"/>
    <col min="4" max="4" width="13.85546875" bestFit="1" customWidth="1"/>
    <col min="5" max="5" width="22.5703125" bestFit="1" customWidth="1"/>
    <col min="6" max="6" width="11.5703125" bestFit="1" customWidth="1"/>
    <col min="7" max="7" width="23.28515625" bestFit="1" customWidth="1"/>
  </cols>
  <sheetData>
    <row r="1" spans="1:7" x14ac:dyDescent="0.25">
      <c r="A1" s="1" t="s">
        <v>7</v>
      </c>
      <c r="B1" s="1" t="s">
        <v>23</v>
      </c>
      <c r="C1" s="1" t="s">
        <v>24</v>
      </c>
      <c r="D1" s="1" t="s">
        <v>25</v>
      </c>
      <c r="E1" s="1" t="s">
        <v>26</v>
      </c>
      <c r="F1" s="1" t="s">
        <v>27</v>
      </c>
      <c r="G1" s="1" t="s">
        <v>28</v>
      </c>
    </row>
    <row r="2" spans="1:7" x14ac:dyDescent="0.25">
      <c r="A2" t="s">
        <v>30</v>
      </c>
      <c r="B2" t="s">
        <v>47</v>
      </c>
      <c r="C2" t="s">
        <v>49</v>
      </c>
      <c r="D2" t="s">
        <v>47</v>
      </c>
      <c r="E2" t="s">
        <v>48</v>
      </c>
      <c r="F2" t="s">
        <v>29</v>
      </c>
    </row>
    <row r="3" spans="1:7" x14ac:dyDescent="0.25">
      <c r="A3" t="s">
        <v>30</v>
      </c>
      <c r="B3" t="s">
        <v>47</v>
      </c>
      <c r="C3" t="s">
        <v>49</v>
      </c>
      <c r="D3" t="s">
        <v>47</v>
      </c>
      <c r="E3" t="s">
        <v>48</v>
      </c>
      <c r="F3" t="s">
        <v>37</v>
      </c>
    </row>
    <row r="5" spans="1:7" x14ac:dyDescent="0.25">
      <c r="A5" s="38" t="s">
        <v>30</v>
      </c>
      <c r="B5" s="38" t="s">
        <v>47</v>
      </c>
      <c r="C5" s="38" t="s">
        <v>48</v>
      </c>
      <c r="D5" s="38" t="s">
        <v>47</v>
      </c>
      <c r="E5" s="38" t="s">
        <v>176</v>
      </c>
      <c r="F5" s="38" t="s">
        <v>29</v>
      </c>
      <c r="G5" s="38" t="s">
        <v>166</v>
      </c>
    </row>
    <row r="6" spans="1:7" x14ac:dyDescent="0.25">
      <c r="A6" s="38" t="s">
        <v>30</v>
      </c>
      <c r="B6" s="38" t="s">
        <v>47</v>
      </c>
      <c r="C6" s="38" t="s">
        <v>48</v>
      </c>
      <c r="D6" s="38" t="s">
        <v>47</v>
      </c>
      <c r="E6" s="38" t="s">
        <v>176</v>
      </c>
      <c r="F6" s="38" t="s">
        <v>37</v>
      </c>
      <c r="G6" s="38" t="s">
        <v>167</v>
      </c>
    </row>
    <row r="7" spans="1:7" x14ac:dyDescent="0.25">
      <c r="A7" s="38" t="s">
        <v>30</v>
      </c>
      <c r="B7" s="38" t="s">
        <v>47</v>
      </c>
      <c r="C7" s="38" t="s">
        <v>48</v>
      </c>
      <c r="D7" s="38" t="s">
        <v>47</v>
      </c>
      <c r="E7" s="38" t="s">
        <v>176</v>
      </c>
      <c r="F7" s="38" t="s">
        <v>168</v>
      </c>
      <c r="G7" s="38" t="s">
        <v>169</v>
      </c>
    </row>
    <row r="8" spans="1:7" x14ac:dyDescent="0.25">
      <c r="A8" s="38" t="s">
        <v>30</v>
      </c>
      <c r="B8" s="38" t="s">
        <v>47</v>
      </c>
      <c r="C8" s="38" t="s">
        <v>48</v>
      </c>
      <c r="D8" s="38" t="s">
        <v>47</v>
      </c>
      <c r="E8" s="38" t="s">
        <v>176</v>
      </c>
      <c r="F8" s="38" t="s">
        <v>168</v>
      </c>
      <c r="G8" s="38" t="s">
        <v>170</v>
      </c>
    </row>
    <row r="10" spans="1:7" x14ac:dyDescent="0.25">
      <c r="A10" s="38" t="s">
        <v>30</v>
      </c>
      <c r="B10" s="38" t="s">
        <v>47</v>
      </c>
      <c r="C10" s="38" t="s">
        <v>176</v>
      </c>
      <c r="D10" s="38" t="s">
        <v>47</v>
      </c>
      <c r="E10" s="38" t="s">
        <v>163</v>
      </c>
      <c r="F10" s="38" t="s">
        <v>29</v>
      </c>
      <c r="G10" s="38" t="s">
        <v>166</v>
      </c>
    </row>
    <row r="11" spans="1:7" x14ac:dyDescent="0.25">
      <c r="A11" s="38" t="s">
        <v>30</v>
      </c>
      <c r="B11" s="38" t="s">
        <v>47</v>
      </c>
      <c r="C11" s="38" t="s">
        <v>176</v>
      </c>
      <c r="D11" s="38" t="s">
        <v>47</v>
      </c>
      <c r="E11" s="38" t="s">
        <v>163</v>
      </c>
      <c r="F11" s="38" t="s">
        <v>37</v>
      </c>
      <c r="G11" s="38" t="s">
        <v>167</v>
      </c>
    </row>
    <row r="12" spans="1:7" x14ac:dyDescent="0.25">
      <c r="A12" s="38" t="s">
        <v>30</v>
      </c>
      <c r="B12" s="38" t="s">
        <v>47</v>
      </c>
      <c r="C12" s="38" t="s">
        <v>176</v>
      </c>
      <c r="D12" s="38" t="s">
        <v>47</v>
      </c>
      <c r="E12" s="38" t="s">
        <v>163</v>
      </c>
      <c r="F12" s="38" t="s">
        <v>168</v>
      </c>
      <c r="G12" s="38" t="s">
        <v>169</v>
      </c>
    </row>
    <row r="13" spans="1:7" x14ac:dyDescent="0.25">
      <c r="A13" s="38" t="s">
        <v>30</v>
      </c>
      <c r="B13" s="38" t="s">
        <v>47</v>
      </c>
      <c r="C13" s="38" t="s">
        <v>176</v>
      </c>
      <c r="D13" s="38" t="s">
        <v>47</v>
      </c>
      <c r="E13" s="38" t="s">
        <v>163</v>
      </c>
      <c r="F13" s="38" t="s">
        <v>168</v>
      </c>
      <c r="G13" s="38" t="s">
        <v>170</v>
      </c>
    </row>
  </sheetData>
  <phoneticPr fontId="3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5BD6E-76BA-47A4-8123-097FFE5BFF7D}">
  <dimension ref="A1:C7"/>
  <sheetViews>
    <sheetView workbookViewId="0">
      <selection activeCell="D20" sqref="D20"/>
    </sheetView>
  </sheetViews>
  <sheetFormatPr defaultRowHeight="15" x14ac:dyDescent="0.25"/>
  <cols>
    <col min="1" max="1" width="19.28515625" bestFit="1" customWidth="1"/>
    <col min="2" max="2" width="13.42578125" bestFit="1" customWidth="1"/>
    <col min="3" max="3" width="11.140625" bestFit="1" customWidth="1"/>
    <col min="4" max="4" width="86" customWidth="1"/>
  </cols>
  <sheetData>
    <row r="1" spans="1:3" x14ac:dyDescent="0.25">
      <c r="A1" t="s">
        <v>7</v>
      </c>
      <c r="B1" t="s">
        <v>32</v>
      </c>
      <c r="C1" t="s">
        <v>33</v>
      </c>
    </row>
    <row r="2" spans="1:3" x14ac:dyDescent="0.25">
      <c r="A2" t="s">
        <v>34</v>
      </c>
      <c r="B2" t="str">
        <f t="shared" ref="B2:B7" si="0">"FFDump"&amp;C2</f>
        <v>FFDump500</v>
      </c>
      <c r="C2">
        <v>500</v>
      </c>
    </row>
    <row r="3" spans="1:3" x14ac:dyDescent="0.25">
      <c r="A3" t="s">
        <v>34</v>
      </c>
      <c r="B3" t="str">
        <f t="shared" si="0"/>
        <v>FFDump600</v>
      </c>
      <c r="C3">
        <v>600</v>
      </c>
    </row>
    <row r="4" spans="1:3" x14ac:dyDescent="0.25">
      <c r="A4" t="s">
        <v>34</v>
      </c>
      <c r="B4" t="str">
        <f t="shared" si="0"/>
        <v>FFDump601</v>
      </c>
      <c r="C4">
        <v>601</v>
      </c>
    </row>
    <row r="5" spans="1:3" x14ac:dyDescent="0.25">
      <c r="A5" t="s">
        <v>34</v>
      </c>
      <c r="B5" t="str">
        <f t="shared" si="0"/>
        <v>FFDump590</v>
      </c>
      <c r="C5">
        <v>590</v>
      </c>
    </row>
    <row r="6" spans="1:3" x14ac:dyDescent="0.25">
      <c r="A6" t="s">
        <v>34</v>
      </c>
      <c r="B6" t="str">
        <f t="shared" si="0"/>
        <v>FFDump18065</v>
      </c>
      <c r="C6">
        <v>18065</v>
      </c>
    </row>
    <row r="7" spans="1:3" x14ac:dyDescent="0.25">
      <c r="A7" t="s">
        <v>34</v>
      </c>
      <c r="B7" t="str">
        <f t="shared" si="0"/>
        <v>FFDump50</v>
      </c>
      <c r="C7">
        <v>50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8"/>
  <sheetViews>
    <sheetView workbookViewId="0">
      <selection activeCell="I25" sqref="I25"/>
    </sheetView>
  </sheetViews>
  <sheetFormatPr defaultRowHeight="15" x14ac:dyDescent="0.25"/>
  <cols>
    <col min="1" max="2" width="22.7109375" bestFit="1" customWidth="1"/>
  </cols>
  <sheetData>
    <row r="1" spans="1:2" x14ac:dyDescent="0.25">
      <c r="A1" s="1" t="s">
        <v>14</v>
      </c>
      <c r="B1" s="1" t="s">
        <v>15</v>
      </c>
    </row>
    <row r="2" spans="1:2" x14ac:dyDescent="0.25">
      <c r="A2" t="s">
        <v>16</v>
      </c>
      <c r="B2" t="s">
        <v>16</v>
      </c>
    </row>
    <row r="3" spans="1:2" x14ac:dyDescent="0.25">
      <c r="A3" t="s">
        <v>148</v>
      </c>
      <c r="B3" t="s">
        <v>148</v>
      </c>
    </row>
    <row r="4" spans="1:2" x14ac:dyDescent="0.25">
      <c r="A4" t="s">
        <v>31</v>
      </c>
      <c r="B4" t="s">
        <v>31</v>
      </c>
    </row>
    <row r="5" spans="1:2" x14ac:dyDescent="0.25">
      <c r="A5" t="s">
        <v>157</v>
      </c>
      <c r="B5" t="s">
        <v>157</v>
      </c>
    </row>
    <row r="6" spans="1:2" x14ac:dyDescent="0.25">
      <c r="A6" t="s">
        <v>158</v>
      </c>
      <c r="B6" t="s">
        <v>158</v>
      </c>
    </row>
    <row r="7" spans="1:2" x14ac:dyDescent="0.25">
      <c r="A7" t="s">
        <v>44</v>
      </c>
      <c r="B7" t="s">
        <v>44</v>
      </c>
    </row>
    <row r="8" spans="1:2" x14ac:dyDescent="0.25">
      <c r="A8" t="s">
        <v>22</v>
      </c>
      <c r="B8" t="s">
        <v>22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B5E8D-A6F3-4D07-A645-8147E696BBBE}">
  <dimension ref="A1:B14"/>
  <sheetViews>
    <sheetView workbookViewId="0">
      <selection activeCell="E20" sqref="E20"/>
    </sheetView>
  </sheetViews>
  <sheetFormatPr defaultRowHeight="15" x14ac:dyDescent="0.25"/>
  <cols>
    <col min="1" max="2" width="16.85546875" bestFit="1" customWidth="1"/>
  </cols>
  <sheetData>
    <row r="1" spans="1:2" x14ac:dyDescent="0.25">
      <c r="A1" s="1" t="s">
        <v>14</v>
      </c>
      <c r="B1" s="1" t="s">
        <v>15</v>
      </c>
    </row>
    <row r="2" spans="1:2" x14ac:dyDescent="0.25">
      <c r="A2" t="s">
        <v>16</v>
      </c>
      <c r="B2" t="s">
        <v>16</v>
      </c>
    </row>
    <row r="3" spans="1:2" x14ac:dyDescent="0.25">
      <c r="A3" t="s">
        <v>17</v>
      </c>
      <c r="B3" t="s">
        <v>17</v>
      </c>
    </row>
    <row r="4" spans="1:2" x14ac:dyDescent="0.25">
      <c r="A4" t="s">
        <v>39</v>
      </c>
      <c r="B4" t="s">
        <v>39</v>
      </c>
    </row>
    <row r="5" spans="1:2" x14ac:dyDescent="0.25">
      <c r="A5" t="s">
        <v>31</v>
      </c>
      <c r="B5" t="s">
        <v>31</v>
      </c>
    </row>
    <row r="6" spans="1:2" x14ac:dyDescent="0.25">
      <c r="A6" t="s">
        <v>18</v>
      </c>
      <c r="B6" t="s">
        <v>18</v>
      </c>
    </row>
    <row r="7" spans="1:2" x14ac:dyDescent="0.25">
      <c r="A7" t="s">
        <v>19</v>
      </c>
      <c r="B7" t="s">
        <v>19</v>
      </c>
    </row>
    <row r="8" spans="1:2" x14ac:dyDescent="0.25">
      <c r="A8" t="s">
        <v>12</v>
      </c>
      <c r="B8" t="s">
        <v>12</v>
      </c>
    </row>
    <row r="9" spans="1:2" x14ac:dyDescent="0.25">
      <c r="A9" t="s">
        <v>13</v>
      </c>
      <c r="B9" t="s">
        <v>13</v>
      </c>
    </row>
    <row r="10" spans="1:2" x14ac:dyDescent="0.25">
      <c r="A10" t="s">
        <v>45</v>
      </c>
      <c r="B10" t="s">
        <v>45</v>
      </c>
    </row>
    <row r="11" spans="1:2" x14ac:dyDescent="0.25">
      <c r="A11" t="s">
        <v>46</v>
      </c>
      <c r="B11" t="s">
        <v>46</v>
      </c>
    </row>
    <row r="12" spans="1:2" x14ac:dyDescent="0.25">
      <c r="A12" t="s">
        <v>20</v>
      </c>
      <c r="B12" t="s">
        <v>20</v>
      </c>
    </row>
    <row r="13" spans="1:2" x14ac:dyDescent="0.25">
      <c r="A13" t="s">
        <v>44</v>
      </c>
      <c r="B13" t="s">
        <v>44</v>
      </c>
    </row>
    <row r="14" spans="1:2" x14ac:dyDescent="0.25">
      <c r="A14" t="s">
        <v>22</v>
      </c>
      <c r="B14" t="s">
        <v>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Global Simulation Parameters</vt:lpstr>
      <vt:lpstr>Facilities</vt:lpstr>
      <vt:lpstr>Wells</vt:lpstr>
      <vt:lpstr>CyclingWells</vt:lpstr>
      <vt:lpstr>ContinuousWells</vt:lpstr>
      <vt:lpstr>Separators</vt:lpstr>
      <vt:lpstr>IntermittentPneumatics</vt:lpstr>
      <vt:lpstr>ContinuousPneumatics</vt:lpstr>
      <vt:lpstr>TankBattery</vt:lpstr>
      <vt:lpstr>Probes</vt:lpstr>
      <vt:lpstr>Flares</vt:lpstr>
      <vt:lpstr>FFLinks</vt:lpstr>
      <vt:lpstr>Debug</vt:lpstr>
      <vt:lpstr>Master Equipment</vt:lpstr>
      <vt:lpstr>MAll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Vora,Prajay</cp:lastModifiedBy>
  <dcterms:created xsi:type="dcterms:W3CDTF">2021-02-18T15:05:05Z</dcterms:created>
  <dcterms:modified xsi:type="dcterms:W3CDTF">2024-05-17T19:55:52Z</dcterms:modified>
</cp:coreProperties>
</file>