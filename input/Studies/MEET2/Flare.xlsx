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68B97098-944F-41CA-A3EF-6BDDBD5E88E9}" xr6:coauthVersionLast="47" xr6:coauthVersionMax="47" xr10:uidLastSave="{00000000-0000-0000-0000-000000000000}"/>
  <bookViews>
    <workbookView xWindow="-120" yWindow="-120" windowWidth="29040" windowHeight="15720" tabRatio="937" xr2:uid="{00000000-000D-0000-FFFF-FFFF00000000}"/>
  </bookViews>
  <sheets>
    <sheet name="Global Simulation Parameters" sheetId="1" r:id="rId1"/>
    <sheet name="Facilities" sheetId="2" r:id="rId2"/>
    <sheet name="Source" sheetId="24" r:id="rId3"/>
    <sheet name="Flares" sheetId="23" r:id="rId4"/>
    <sheet name="Sink" sheetId="25" r:id="rId5"/>
    <sheet name="FFLinks" sheetId="27" r:id="rId6"/>
    <sheet name="Debug" sheetId="28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8" l="1"/>
  <c r="B2" i="28"/>
</calcChain>
</file>

<file path=xl/sharedStrings.xml><?xml version="1.0" encoding="utf-8"?>
<sst xmlns="http://schemas.openxmlformats.org/spreadsheetml/2006/main" count="218" uniqueCount="93">
  <si>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</si>
  <si>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</si>
  <si>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</si>
  <si>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</si>
  <si>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</si>
  <si>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</si>
  <si>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</si>
  <si>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</si>
  <si>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</si>
  <si>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</si>
  <si>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</si>
  <si>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</si>
  <si>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</si>
  <si>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</si>
  <si>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</si>
  <si>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</si>
  <si>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</si>
  <si>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</si>
  <si>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</si>
  <si>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</si>
  <si>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</si>
  <si>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</si>
  <si>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</si>
  <si>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Separators</t>
  </si>
  <si>
    <t>Common Headers</t>
  </si>
  <si>
    <t>Component Leak Survey Frequency [days]</t>
  </si>
  <si>
    <t>FFLinks</t>
  </si>
  <si>
    <t>VRUs</t>
  </si>
  <si>
    <t>Flares</t>
  </si>
  <si>
    <t>facility_test</t>
  </si>
  <si>
    <t>Operating Duration min [days]</t>
  </si>
  <si>
    <t>Operating Duration max [days]</t>
  </si>
  <si>
    <t>Malfunction Duration min [days]</t>
  </si>
  <si>
    <t>Malfunction Duration max [days]</t>
  </si>
  <si>
    <t>pMalfunction</t>
  </si>
  <si>
    <t>pUnlit</t>
  </si>
  <si>
    <t>Unlit Duration min [days]</t>
  </si>
  <si>
    <t>Unlit Duration max [days]</t>
  </si>
  <si>
    <t>flare_1</t>
  </si>
  <si>
    <t>Malfunction Destruction Efficiency</t>
  </si>
  <si>
    <t>Unlit Destruction Efficiency</t>
  </si>
  <si>
    <t>Operating Destruction Efficiency</t>
  </si>
  <si>
    <t>Activity / Emission Factor Name</t>
  </si>
  <si>
    <t>Oil Production [bbl/d]</t>
  </si>
  <si>
    <t>Gas Production [Mscf/d]</t>
  </si>
  <si>
    <t>Water Production [bbl/d]</t>
  </si>
  <si>
    <t>Flow Tag</t>
  </si>
  <si>
    <t>Flow Gas Composition</t>
  </si>
  <si>
    <t>well_1</t>
  </si>
  <si>
    <t>Well</t>
  </si>
  <si>
    <t>FixedSource.json</t>
  </si>
  <si>
    <t>probe1</t>
  </si>
  <si>
    <t>Probe.json</t>
  </si>
  <si>
    <t>Flare.json</t>
  </si>
  <si>
    <t>Source</t>
  </si>
  <si>
    <t>Sink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</si>
  <si>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</si>
  <si>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</si>
  <si>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</si>
  <si>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</si>
  <si>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</si>
  <si>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</si>
  <si>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</si>
  <si>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Vapor</t>
  </si>
  <si>
    <t>DumpID</t>
  </si>
  <si>
    <t>Dump Time</t>
  </si>
  <si>
    <t>FFDumpService.json</t>
  </si>
  <si>
    <t>input/Studies/MEET2/TestGCFile1.csv</t>
  </si>
  <si>
    <t>flare_2</t>
  </si>
  <si>
    <t>Test-LeakGc</t>
  </si>
  <si>
    <t>input/Studies/MEET2/TestCompositionsFF.csv</t>
  </si>
  <si>
    <t>TestWell</t>
  </si>
  <si>
    <t>well_2</t>
  </si>
  <si>
    <t>TestWell2</t>
  </si>
  <si>
    <t>flare_3</t>
  </si>
  <si>
    <t>well_3</t>
  </si>
  <si>
    <t>flare_4</t>
  </si>
  <si>
    <t>DestEffAll50</t>
  </si>
  <si>
    <t>DestEffAll25</t>
  </si>
  <si>
    <t>DestEffAll100</t>
  </si>
  <si>
    <t>flare_5</t>
  </si>
  <si>
    <t>DestEff6633</t>
  </si>
  <si>
    <t>DestEff3366</t>
  </si>
  <si>
    <t>flare_6</t>
  </si>
  <si>
    <t>Graph Specification File</t>
  </si>
  <si>
    <t>input/Studies/MEET2/FlareGraphs.json</t>
  </si>
  <si>
    <t>flare_7</t>
  </si>
  <si>
    <t>Leak GC Name</t>
  </si>
  <si>
    <t>Factor Tag</t>
  </si>
  <si>
    <t>Leak Gas Composition</t>
  </si>
  <si>
    <t>wellpad_flare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</si>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</sst>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164" fontId="0" fillId="0" borderId="0" xfId="0" applyNumberFormat="1"/>
    <xf numFmtId="0" fontId="0" fillId="2" borderId="0" xfId="0" applyFill="1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left" vertical="center"/>
    </xf>
    <xf numFmtId="0" fontId="1" fillId="4" borderId="1" xfId="0" applyFont="1" applyFill="1" applyBorder="1" applyAlignment="1">
      <alignment horizontal="center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4" borderId="0" xfId="0" applyFill="1" applyAlignment="1">
      <alignment horizontal="right"/>
    </xf>
    <xf numFmtId="0" fontId="0" fillId="5" borderId="0" xfId="0" applyFill="1" applyAlignment="1">
      <alignment horizontal="right" indent="1"/>
    </xf>
    <xf numFmtId="0" fontId="0" fillId="6" borderId="0" xfId="0" applyFill="1" applyAlignment="1">
      <alignment horizontal="right" indent="1"/>
    </xf>
    <xf numFmtId="0" fontId="2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B8" sqref="B8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42</v>
      </c>
    </row>
    <row r="6" spans="1:2" x14ac:dyDescent="0.25">
      <c r="A6" t="s">
        <v>84</v>
      </c>
      <c r="B6" t="s">
        <v>85</v>
      </c>
    </row>
    <row r="7" spans="1:2" x14ac:dyDescent="0.25">
      <c r="A7" t="s">
        <v>91</v>
      </c>
      <c r="B7" t="s">
        <v>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89</v>
      </c>
      <c r="E1" s="3" t="s">
        <v>8</v>
      </c>
    </row>
    <row r="2" spans="1:5" x14ac:dyDescent="0.25">
      <c r="A2" t="s">
        <v>29</v>
      </c>
      <c r="B2" s="4">
        <v>0</v>
      </c>
      <c r="C2" s="4">
        <v>0</v>
      </c>
      <c r="D2" t="s">
        <v>67</v>
      </c>
      <c r="E2" t="s">
        <v>21</v>
      </c>
    </row>
    <row r="3" spans="1:5" x14ac:dyDescent="0.25">
      <c r="B3" s="4"/>
      <c r="C3" s="4"/>
    </row>
    <row r="4" spans="1:5" x14ac:dyDescent="0.25">
      <c r="B4" s="4"/>
      <c r="C4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0032E-7887-4A20-880E-7DE311F68A04}">
  <dimension ref="A1:M4"/>
  <sheetViews>
    <sheetView workbookViewId="0">
      <selection activeCell="G8" sqref="G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4" width="10" bestFit="1" customWidth="1"/>
    <col min="5" max="5" width="16.85546875" bestFit="1" customWidth="1"/>
    <col min="6" max="7" width="11.42578125" bestFit="1" customWidth="1"/>
    <col min="8" max="8" width="8.42578125" bestFit="1" customWidth="1"/>
    <col min="9" max="9" width="8.7109375" bestFit="1" customWidth="1"/>
    <col min="10" max="10" width="8.42578125" bestFit="1" customWidth="1"/>
    <col min="11" max="11" width="9.85546875" bestFit="1" customWidth="1"/>
    <col min="12" max="12" width="16.28515625" bestFit="1" customWidth="1"/>
    <col min="13" max="13" width="58.85546875" bestFit="1" customWidth="1"/>
  </cols>
  <sheetData>
    <row r="1" spans="1:13" s="8" customFormat="1" ht="60" x14ac:dyDescent="0.25">
      <c r="A1" s="6" t="s">
        <v>5</v>
      </c>
      <c r="B1" s="6" t="s">
        <v>9</v>
      </c>
      <c r="C1" s="6" t="s">
        <v>6</v>
      </c>
      <c r="D1" s="6" t="s">
        <v>7</v>
      </c>
      <c r="E1" s="10" t="s">
        <v>25</v>
      </c>
      <c r="F1" s="10" t="s">
        <v>10</v>
      </c>
      <c r="G1" s="10" t="s">
        <v>11</v>
      </c>
      <c r="H1" s="6" t="s">
        <v>43</v>
      </c>
      <c r="I1" s="6" t="s">
        <v>44</v>
      </c>
      <c r="J1" s="6" t="s">
        <v>45</v>
      </c>
      <c r="K1" s="6" t="s">
        <v>46</v>
      </c>
      <c r="L1" s="6" t="s">
        <v>8</v>
      </c>
      <c r="M1" s="6" t="s">
        <v>47</v>
      </c>
    </row>
    <row r="2" spans="1:13" x14ac:dyDescent="0.25">
      <c r="A2" t="s">
        <v>29</v>
      </c>
      <c r="B2" t="s">
        <v>48</v>
      </c>
      <c r="C2">
        <v>6.2270000000808068E-4</v>
      </c>
      <c r="D2">
        <v>3.6642000000002284E-3</v>
      </c>
      <c r="E2" s="9">
        <v>365</v>
      </c>
      <c r="F2" s="9">
        <v>48</v>
      </c>
      <c r="G2" s="9">
        <v>0.02</v>
      </c>
      <c r="H2">
        <v>24</v>
      </c>
      <c r="I2">
        <v>500</v>
      </c>
      <c r="J2">
        <v>24</v>
      </c>
      <c r="K2" t="s">
        <v>49</v>
      </c>
      <c r="L2" t="s">
        <v>50</v>
      </c>
      <c r="M2" t="s">
        <v>67</v>
      </c>
    </row>
    <row r="3" spans="1:13" x14ac:dyDescent="0.25">
      <c r="A3" t="s">
        <v>29</v>
      </c>
      <c r="B3" t="s">
        <v>72</v>
      </c>
      <c r="C3">
        <v>6.2270000000808068E-4</v>
      </c>
      <c r="D3">
        <v>3.6642000000002284E-3</v>
      </c>
      <c r="E3" s="9">
        <v>365</v>
      </c>
      <c r="F3" s="9">
        <v>48</v>
      </c>
      <c r="G3" s="9">
        <v>0.02</v>
      </c>
      <c r="H3">
        <v>0</v>
      </c>
      <c r="I3">
        <v>86.4</v>
      </c>
      <c r="J3">
        <v>0</v>
      </c>
      <c r="K3" t="s">
        <v>71</v>
      </c>
      <c r="L3" t="s">
        <v>50</v>
      </c>
      <c r="M3" t="s">
        <v>70</v>
      </c>
    </row>
    <row r="4" spans="1:13" x14ac:dyDescent="0.25">
      <c r="A4" t="s">
        <v>29</v>
      </c>
      <c r="B4" t="s">
        <v>75</v>
      </c>
      <c r="C4">
        <v>6.2270000000808068E-4</v>
      </c>
      <c r="D4">
        <v>3.6642000000002284E-3</v>
      </c>
      <c r="E4" s="9">
        <v>365</v>
      </c>
      <c r="F4" s="9">
        <v>48</v>
      </c>
      <c r="G4" s="9">
        <v>0.02</v>
      </c>
      <c r="H4">
        <v>0</v>
      </c>
      <c r="I4">
        <v>86.4</v>
      </c>
      <c r="J4">
        <v>0</v>
      </c>
      <c r="K4" t="s">
        <v>73</v>
      </c>
      <c r="L4" t="s">
        <v>50</v>
      </c>
      <c r="M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A7E0-8509-4746-849C-C51A3A050204}">
  <dimension ref="A1:S8"/>
  <sheetViews>
    <sheetView workbookViewId="0">
      <selection activeCell="F20" sqref="F20"/>
    </sheetView>
  </sheetViews>
  <sheetFormatPr defaultColWidth="18.85546875" defaultRowHeight="15" x14ac:dyDescent="0.25"/>
  <cols>
    <col min="1" max="1" width="11.42578125" bestFit="1" customWidth="1"/>
    <col min="2" max="2" width="7.140625" bestFit="1" customWidth="1"/>
    <col min="3" max="3" width="17.42578125" bestFit="1" customWidth="1"/>
    <col min="4" max="4" width="16.85546875" bestFit="1" customWidth="1"/>
    <col min="5" max="5" width="17.28515625" bestFit="1" customWidth="1"/>
    <col min="6" max="6" width="13.140625" bestFit="1" customWidth="1"/>
    <col min="7" max="7" width="18.7109375" bestFit="1" customWidth="1"/>
    <col min="8" max="8" width="12.85546875" bestFit="1" customWidth="1"/>
    <col min="9" max="9" width="11.85546875" bestFit="1" customWidth="1"/>
    <col min="10" max="10" width="6.5703125" bestFit="1" customWidth="1"/>
    <col min="11" max="11" width="17.7109375" bestFit="1" customWidth="1"/>
    <col min="12" max="12" width="18" bestFit="1" customWidth="1"/>
    <col min="13" max="13" width="16.28515625" bestFit="1" customWidth="1"/>
    <col min="14" max="15" width="18.28515625" bestFit="1" customWidth="1"/>
    <col min="16" max="16" width="14.28515625" bestFit="1" customWidth="1"/>
    <col min="17" max="17" width="9.7109375" bestFit="1" customWidth="1"/>
    <col min="18" max="18" width="19.85546875" bestFit="1" customWidth="1"/>
  </cols>
  <sheetData>
    <row r="1" spans="1:19" s="8" customFormat="1" ht="45" x14ac:dyDescent="0.25">
      <c r="A1" s="6" t="s">
        <v>5</v>
      </c>
      <c r="B1" s="6" t="s">
        <v>9</v>
      </c>
      <c r="C1" s="7" t="s">
        <v>10</v>
      </c>
      <c r="D1" s="7" t="s">
        <v>25</v>
      </c>
      <c r="E1" s="7" t="s">
        <v>11</v>
      </c>
      <c r="F1" s="14" t="s">
        <v>34</v>
      </c>
      <c r="G1" s="14" t="s">
        <v>32</v>
      </c>
      <c r="H1" s="14" t="s">
        <v>33</v>
      </c>
      <c r="I1" s="14" t="s">
        <v>39</v>
      </c>
      <c r="J1" s="16" t="s">
        <v>35</v>
      </c>
      <c r="K1" s="16" t="s">
        <v>36</v>
      </c>
      <c r="L1" s="16" t="s">
        <v>37</v>
      </c>
      <c r="M1" s="16" t="s">
        <v>40</v>
      </c>
      <c r="N1" s="18" t="s">
        <v>30</v>
      </c>
      <c r="O1" s="18" t="s">
        <v>31</v>
      </c>
      <c r="P1" s="18" t="s">
        <v>41</v>
      </c>
      <c r="Q1" s="6" t="s">
        <v>8</v>
      </c>
      <c r="R1" s="6" t="s">
        <v>87</v>
      </c>
      <c r="S1" s="23" t="s">
        <v>88</v>
      </c>
    </row>
    <row r="2" spans="1:19" x14ac:dyDescent="0.25">
      <c r="A2" t="s">
        <v>29</v>
      </c>
      <c r="B2" t="s">
        <v>38</v>
      </c>
      <c r="C2" s="5">
        <v>0</v>
      </c>
      <c r="D2" s="5">
        <v>365</v>
      </c>
      <c r="E2" s="5">
        <v>1E-4</v>
      </c>
      <c r="F2" s="15">
        <v>0.75</v>
      </c>
      <c r="G2" s="15">
        <v>1</v>
      </c>
      <c r="H2" s="15">
        <v>1</v>
      </c>
      <c r="I2" s="15">
        <v>0.9</v>
      </c>
      <c r="J2" s="17">
        <v>0.25</v>
      </c>
      <c r="K2" s="17">
        <v>2</v>
      </c>
      <c r="L2" s="17">
        <v>2</v>
      </c>
      <c r="M2" s="17">
        <v>0</v>
      </c>
      <c r="N2" s="19">
        <v>10</v>
      </c>
      <c r="O2" s="19">
        <v>10</v>
      </c>
      <c r="P2" s="19">
        <v>0.98</v>
      </c>
      <c r="Q2" t="s">
        <v>53</v>
      </c>
      <c r="R2" t="s">
        <v>69</v>
      </c>
      <c r="S2" t="s">
        <v>90</v>
      </c>
    </row>
    <row r="3" spans="1:19" x14ac:dyDescent="0.25">
      <c r="A3" t="s">
        <v>29</v>
      </c>
      <c r="B3" t="s">
        <v>68</v>
      </c>
      <c r="C3" s="5">
        <v>0</v>
      </c>
      <c r="D3" s="5">
        <v>365</v>
      </c>
      <c r="E3" s="5">
        <v>1E-4</v>
      </c>
      <c r="F3" s="15">
        <v>0.75</v>
      </c>
      <c r="G3" s="15">
        <v>1</v>
      </c>
      <c r="H3" s="15">
        <v>1</v>
      </c>
      <c r="I3" s="15">
        <v>0.5</v>
      </c>
      <c r="J3" s="17">
        <v>0.25</v>
      </c>
      <c r="K3" s="17">
        <v>2</v>
      </c>
      <c r="L3" s="17">
        <v>2</v>
      </c>
      <c r="M3" s="17">
        <v>0</v>
      </c>
      <c r="N3" s="19">
        <v>10</v>
      </c>
      <c r="O3" s="19">
        <v>10</v>
      </c>
      <c r="P3" s="19">
        <v>1</v>
      </c>
      <c r="Q3" t="s">
        <v>53</v>
      </c>
      <c r="R3" t="s">
        <v>69</v>
      </c>
      <c r="S3" t="s">
        <v>90</v>
      </c>
    </row>
    <row r="4" spans="1:19" x14ac:dyDescent="0.25">
      <c r="A4" t="s">
        <v>29</v>
      </c>
      <c r="B4" t="s">
        <v>74</v>
      </c>
      <c r="C4" s="5">
        <v>0</v>
      </c>
      <c r="D4" s="5">
        <v>365</v>
      </c>
      <c r="E4" s="5">
        <v>1E-4</v>
      </c>
      <c r="F4" s="15">
        <v>0.75</v>
      </c>
      <c r="G4" s="15">
        <v>1</v>
      </c>
      <c r="H4" s="15">
        <v>1</v>
      </c>
      <c r="I4" s="15">
        <v>0.5</v>
      </c>
      <c r="J4" s="17">
        <v>0.25</v>
      </c>
      <c r="K4" s="17">
        <v>2</v>
      </c>
      <c r="L4" s="17">
        <v>2</v>
      </c>
      <c r="M4" s="17">
        <v>0.25</v>
      </c>
      <c r="N4" s="19">
        <v>10</v>
      </c>
      <c r="O4" s="19">
        <v>10</v>
      </c>
      <c r="P4" s="19">
        <v>1</v>
      </c>
      <c r="Q4" t="s">
        <v>53</v>
      </c>
      <c r="R4" t="s">
        <v>69</v>
      </c>
      <c r="S4" t="s">
        <v>90</v>
      </c>
    </row>
    <row r="5" spans="1:19" x14ac:dyDescent="0.25">
      <c r="A5" t="s">
        <v>29</v>
      </c>
      <c r="B5" t="s">
        <v>76</v>
      </c>
      <c r="C5" s="5">
        <v>0</v>
      </c>
      <c r="D5" s="5">
        <v>365</v>
      </c>
      <c r="E5" s="5">
        <v>1E-4</v>
      </c>
      <c r="F5" s="15">
        <v>0.75</v>
      </c>
      <c r="G5" s="15">
        <v>1</v>
      </c>
      <c r="H5" s="15">
        <v>1</v>
      </c>
      <c r="I5" s="20" t="s">
        <v>77</v>
      </c>
      <c r="J5" s="17">
        <v>0.25</v>
      </c>
      <c r="K5" s="17">
        <v>2</v>
      </c>
      <c r="L5" s="17">
        <v>2</v>
      </c>
      <c r="M5" s="21" t="s">
        <v>78</v>
      </c>
      <c r="N5" s="19">
        <v>10</v>
      </c>
      <c r="O5" s="19">
        <v>10</v>
      </c>
      <c r="P5" s="22" t="s">
        <v>79</v>
      </c>
      <c r="Q5" t="s">
        <v>53</v>
      </c>
      <c r="R5" t="s">
        <v>69</v>
      </c>
      <c r="S5" t="s">
        <v>90</v>
      </c>
    </row>
    <row r="6" spans="1:19" x14ac:dyDescent="0.25">
      <c r="A6" t="s">
        <v>29</v>
      </c>
      <c r="B6" t="s">
        <v>80</v>
      </c>
      <c r="C6" s="5">
        <v>0</v>
      </c>
      <c r="D6" s="5">
        <v>365</v>
      </c>
      <c r="E6" s="5">
        <v>1E-4</v>
      </c>
      <c r="F6" s="15">
        <v>0.75</v>
      </c>
      <c r="G6" s="15">
        <v>1</v>
      </c>
      <c r="H6" s="15">
        <v>1</v>
      </c>
      <c r="I6" s="20" t="s">
        <v>81</v>
      </c>
      <c r="J6" s="17">
        <v>0.25</v>
      </c>
      <c r="K6" s="17">
        <v>2</v>
      </c>
      <c r="L6" s="17">
        <v>2</v>
      </c>
      <c r="M6" s="21" t="s">
        <v>82</v>
      </c>
      <c r="N6" s="19">
        <v>10</v>
      </c>
      <c r="O6" s="19">
        <v>10</v>
      </c>
      <c r="P6" s="22" t="s">
        <v>79</v>
      </c>
      <c r="Q6" t="s">
        <v>53</v>
      </c>
      <c r="R6" t="s">
        <v>69</v>
      </c>
      <c r="S6" t="s">
        <v>90</v>
      </c>
    </row>
    <row r="7" spans="1:19" x14ac:dyDescent="0.25">
      <c r="A7" t="s">
        <v>29</v>
      </c>
      <c r="B7" t="s">
        <v>83</v>
      </c>
      <c r="C7" s="5">
        <v>10000</v>
      </c>
      <c r="D7" s="5">
        <v>365</v>
      </c>
      <c r="E7" s="5">
        <v>1E-4</v>
      </c>
      <c r="F7" s="15">
        <v>0.75</v>
      </c>
      <c r="G7" s="15">
        <v>1</v>
      </c>
      <c r="H7" s="15">
        <v>1</v>
      </c>
      <c r="I7" s="20" t="s">
        <v>81</v>
      </c>
      <c r="J7" s="17">
        <v>0.25</v>
      </c>
      <c r="K7" s="17">
        <v>2</v>
      </c>
      <c r="L7" s="17">
        <v>2</v>
      </c>
      <c r="M7" s="21" t="s">
        <v>82</v>
      </c>
      <c r="N7" s="19">
        <v>10</v>
      </c>
      <c r="O7" s="19">
        <v>10</v>
      </c>
      <c r="P7" s="22" t="s">
        <v>79</v>
      </c>
      <c r="Q7" t="s">
        <v>53</v>
      </c>
      <c r="R7" t="s">
        <v>69</v>
      </c>
      <c r="S7" t="s">
        <v>90</v>
      </c>
    </row>
    <row r="8" spans="1:19" x14ac:dyDescent="0.25">
      <c r="A8" t="s">
        <v>29</v>
      </c>
      <c r="B8" t="s">
        <v>86</v>
      </c>
      <c r="C8" s="5">
        <v>10000</v>
      </c>
      <c r="D8" s="5">
        <v>365</v>
      </c>
      <c r="E8" s="5">
        <v>1E-4</v>
      </c>
      <c r="F8" s="15">
        <v>0.75</v>
      </c>
      <c r="G8" s="15">
        <v>1</v>
      </c>
      <c r="H8" s="15">
        <v>3</v>
      </c>
      <c r="I8" s="20" t="s">
        <v>81</v>
      </c>
      <c r="J8" s="17">
        <v>0.25</v>
      </c>
      <c r="K8" s="17">
        <v>2</v>
      </c>
      <c r="L8" s="17">
        <v>6</v>
      </c>
      <c r="M8" s="21" t="s">
        <v>82</v>
      </c>
      <c r="N8" s="19">
        <v>10</v>
      </c>
      <c r="O8" s="19">
        <v>20</v>
      </c>
      <c r="P8" s="22" t="s">
        <v>79</v>
      </c>
      <c r="Q8" t="s">
        <v>53</v>
      </c>
      <c r="R8" t="s">
        <v>69</v>
      </c>
      <c r="S8" t="s">
        <v>90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704A-1C35-425A-A689-C1095767730D}">
  <dimension ref="A1:C2"/>
  <sheetViews>
    <sheetView workbookViewId="0">
      <selection activeCell="J8" sqref="J8"/>
    </sheetView>
  </sheetViews>
  <sheetFormatPr defaultRowHeight="15" x14ac:dyDescent="0.25"/>
  <cols>
    <col min="1" max="1" width="11.42578125" bestFit="1" customWidth="1"/>
    <col min="2" max="2" width="7.28515625" bestFit="1" customWidth="1"/>
    <col min="3" max="3" width="10.5703125" bestFit="1" customWidth="1"/>
  </cols>
  <sheetData>
    <row r="1" spans="1:3" x14ac:dyDescent="0.25">
      <c r="A1" s="11" t="s">
        <v>5</v>
      </c>
      <c r="B1" s="11" t="s">
        <v>9</v>
      </c>
      <c r="C1" s="11" t="s">
        <v>8</v>
      </c>
    </row>
    <row r="2" spans="1:3" x14ac:dyDescent="0.25">
      <c r="A2" t="s">
        <v>29</v>
      </c>
      <c r="B2" t="s">
        <v>51</v>
      </c>
      <c r="C2" t="s"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B46F2-79F4-4D75-938A-C452D1184F7E}">
  <dimension ref="A1:G9"/>
  <sheetViews>
    <sheetView workbookViewId="0">
      <selection activeCell="I12" sqref="I12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2.85546875" bestFit="1" customWidth="1"/>
    <col min="4" max="4" width="13.85546875" bestFit="1" customWidth="1"/>
    <col min="5" max="5" width="18.28515625" bestFit="1" customWidth="1"/>
    <col min="6" max="6" width="11.5703125" bestFit="1" customWidth="1"/>
    <col min="7" max="7" width="16.85546875" bestFit="1" customWidth="1"/>
  </cols>
  <sheetData>
    <row r="1" spans="1:7" x14ac:dyDescent="0.25">
      <c r="A1" s="1" t="s">
        <v>8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29</v>
      </c>
      <c r="C2" t="s">
        <v>48</v>
      </c>
      <c r="D2" t="s">
        <v>29</v>
      </c>
      <c r="E2" t="s">
        <v>38</v>
      </c>
      <c r="F2" t="s">
        <v>63</v>
      </c>
      <c r="G2" s="12"/>
    </row>
    <row r="3" spans="1:7" x14ac:dyDescent="0.25">
      <c r="A3" t="s">
        <v>62</v>
      </c>
      <c r="B3" t="s">
        <v>29</v>
      </c>
      <c r="C3" t="s">
        <v>38</v>
      </c>
      <c r="D3" t="s">
        <v>29</v>
      </c>
      <c r="E3" t="s">
        <v>51</v>
      </c>
      <c r="F3" t="s">
        <v>63</v>
      </c>
      <c r="G3" s="12"/>
    </row>
    <row r="4" spans="1:7" x14ac:dyDescent="0.25">
      <c r="A4" t="s">
        <v>62</v>
      </c>
      <c r="B4" t="s">
        <v>29</v>
      </c>
      <c r="C4" t="s">
        <v>72</v>
      </c>
      <c r="D4" t="s">
        <v>29</v>
      </c>
      <c r="E4" t="s">
        <v>68</v>
      </c>
      <c r="F4" t="s">
        <v>63</v>
      </c>
      <c r="G4" s="12"/>
    </row>
    <row r="5" spans="1:7" x14ac:dyDescent="0.25">
      <c r="A5" t="s">
        <v>62</v>
      </c>
      <c r="B5" t="s">
        <v>29</v>
      </c>
      <c r="C5" t="s">
        <v>75</v>
      </c>
      <c r="D5" t="s">
        <v>29</v>
      </c>
      <c r="E5" t="s">
        <v>74</v>
      </c>
      <c r="F5" t="s">
        <v>63</v>
      </c>
      <c r="G5" s="12"/>
    </row>
    <row r="6" spans="1:7" x14ac:dyDescent="0.25">
      <c r="A6" t="s">
        <v>62</v>
      </c>
      <c r="B6" t="s">
        <v>29</v>
      </c>
      <c r="C6" t="s">
        <v>75</v>
      </c>
      <c r="D6" t="s">
        <v>29</v>
      </c>
      <c r="E6" t="s">
        <v>76</v>
      </c>
      <c r="F6" t="s">
        <v>63</v>
      </c>
      <c r="G6" s="12"/>
    </row>
    <row r="7" spans="1:7" x14ac:dyDescent="0.25">
      <c r="A7" t="s">
        <v>62</v>
      </c>
      <c r="B7" t="s">
        <v>29</v>
      </c>
      <c r="C7" t="s">
        <v>75</v>
      </c>
      <c r="D7" t="s">
        <v>29</v>
      </c>
      <c r="E7" t="s">
        <v>80</v>
      </c>
      <c r="F7" t="s">
        <v>63</v>
      </c>
      <c r="G7" s="12"/>
    </row>
    <row r="8" spans="1:7" x14ac:dyDescent="0.25">
      <c r="A8" t="s">
        <v>62</v>
      </c>
      <c r="B8" t="s">
        <v>29</v>
      </c>
      <c r="C8" t="s">
        <v>75</v>
      </c>
      <c r="D8" t="s">
        <v>29</v>
      </c>
      <c r="E8" t="s">
        <v>83</v>
      </c>
      <c r="F8" t="s">
        <v>63</v>
      </c>
      <c r="G8" s="12"/>
    </row>
    <row r="9" spans="1:7" x14ac:dyDescent="0.25">
      <c r="A9" t="s">
        <v>62</v>
      </c>
      <c r="B9" t="s">
        <v>29</v>
      </c>
      <c r="C9" t="s">
        <v>75</v>
      </c>
      <c r="D9" t="s">
        <v>29</v>
      </c>
      <c r="E9" t="s">
        <v>86</v>
      </c>
      <c r="F9" t="s">
        <v>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8ED9-C6E8-4422-8020-203C5F33379E}">
  <dimension ref="A1:C3"/>
  <sheetViews>
    <sheetView workbookViewId="0">
      <selection activeCell="C4" sqref="C4"/>
    </sheetView>
  </sheetViews>
  <sheetFormatPr defaultRowHeight="15" x14ac:dyDescent="0.25"/>
  <cols>
    <col min="1" max="1" width="19.28515625" bestFit="1" customWidth="1"/>
    <col min="2" max="2" width="14.42578125" bestFit="1" customWidth="1"/>
    <col min="3" max="3" width="11.140625" bestFit="1" customWidth="1"/>
  </cols>
  <sheetData>
    <row r="1" spans="1:3" x14ac:dyDescent="0.25">
      <c r="A1" t="s">
        <v>8</v>
      </c>
      <c r="B1" t="s">
        <v>64</v>
      </c>
      <c r="C1" t="s">
        <v>65</v>
      </c>
    </row>
    <row r="2" spans="1:3" x14ac:dyDescent="0.25">
      <c r="A2" t="s">
        <v>66</v>
      </c>
      <c r="B2" t="str">
        <f t="shared" ref="B2" si="0">"FFDump"&amp;C2</f>
        <v>FFDump50</v>
      </c>
      <c r="C2">
        <v>50</v>
      </c>
    </row>
    <row r="3" spans="1:3" x14ac:dyDescent="0.25">
      <c r="A3" t="s">
        <v>66</v>
      </c>
      <c r="B3" t="str">
        <f t="shared" ref="B3" si="1">"FFDump"&amp;C3</f>
        <v>FFDump864010</v>
      </c>
      <c r="C3">
        <v>864010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6"/>
  <sheetViews>
    <sheetView workbookViewId="0">
      <selection activeCell="F19" sqref="F19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s="13" t="s">
        <v>16</v>
      </c>
      <c r="B2" s="13" t="s">
        <v>16</v>
      </c>
    </row>
    <row r="3" spans="1:2" x14ac:dyDescent="0.25">
      <c r="A3" t="s">
        <v>54</v>
      </c>
      <c r="B3" t="s">
        <v>54</v>
      </c>
    </row>
    <row r="4" spans="1:2" x14ac:dyDescent="0.25">
      <c r="A4" t="s">
        <v>28</v>
      </c>
      <c r="B4" t="s">
        <v>28</v>
      </c>
    </row>
    <row r="5" spans="1:2" x14ac:dyDescent="0.25">
      <c r="A5" t="s">
        <v>55</v>
      </c>
      <c r="B5" t="s">
        <v>55</v>
      </c>
    </row>
    <row r="6" spans="1:2" x14ac:dyDescent="0.25">
      <c r="A6" t="s">
        <v>26</v>
      </c>
      <c r="B6" t="s">
        <v>26</v>
      </c>
    </row>
  </sheetData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E30" sqref="E30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24</v>
      </c>
      <c r="B4" t="s">
        <v>24</v>
      </c>
    </row>
    <row r="5" spans="1:2" x14ac:dyDescent="0.25">
      <c r="A5" t="s">
        <v>23</v>
      </c>
      <c r="B5" t="s">
        <v>23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27</v>
      </c>
      <c r="B10" t="s">
        <v>27</v>
      </c>
    </row>
    <row r="11" spans="1:2" x14ac:dyDescent="0.25">
      <c r="A11" t="s">
        <v>28</v>
      </c>
      <c r="B11" t="s">
        <v>28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26</v>
      </c>
      <c r="B13" t="s">
        <v>26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Source</vt:lpstr>
      <vt:lpstr>Flares</vt:lpstr>
      <vt:lpstr>Sink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2023-10-28T20:39:21Z</dcterms:modified>
</cp:coreProperties>
</file>