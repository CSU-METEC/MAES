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METEC\MEET2_new\input\Studies\MEET2\"/>
    </mc:Choice>
  </mc:AlternateContent>
  <xr:revisionPtr revIDLastSave="0" documentId="13_ncr:1_{8BE1F3E1-2EFB-4214-BFD8-F2A42E9EE7B7}" xr6:coauthVersionLast="47" xr6:coauthVersionMax="47" xr10:uidLastSave="{00000000-0000-0000-0000-000000000000}"/>
  <bookViews>
    <workbookView xWindow="-120" yWindow="-120" windowWidth="29040" windowHeight="15720" tabRatio="937" activeTab="2" xr2:uid="{00000000-000D-0000-FFFF-FFFF00000000}"/>
  </bookViews>
  <sheets>
    <sheet name="Global Simulation Parameters" sheetId="1" r:id="rId1"/>
    <sheet name="Facilities" sheetId="2" r:id="rId2"/>
    <sheet name="ContinuousWells" sheetId="3" r:id="rId3"/>
    <sheet name="CyclingWells" sheetId="21" r:id="rId4"/>
    <sheet name="Separators" sheetId="5" r:id="rId5"/>
    <sheet name="FFLinks" sheetId="16" r:id="rId6"/>
    <sheet name="Debug" sheetId="17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<sst xmlns="http://schemas.openxmlformats.org/spreadsheetml/2006/main" count="228" uniqueCount="112">
  <si>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</si>
  <si>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</si>
  <si>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</si>
  <si>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</si>
  <si>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</si>
  <si>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</si>
  <si>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</si>
  <si>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</si>
  <si>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</si>
  <si>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</si>
  <si>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</si>
  <si>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</si>
  <si>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</si>
  <si>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</si>
  <si>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</si>
  <si>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</si>
  <si>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</si>
  <si>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</si>
  <si>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</si>
  <si>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</si>
  <si>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</si>
  <si>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</si>
  <si>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</si>
  <si>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</si>
  <si>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</si>
  <si>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</si>
  <si>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</si>
  <si>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</si>
  <si>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</si>
  <si>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</si>
  <si>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</si>
  <si>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</si>
  <si>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</si>
  <si>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</si>
  <si>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</si>
  <si>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</si>
  <si>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</si>
  <si>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</si>
  <si>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</si>
  <si>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</si>
  <si>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</si>
  <si>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</si>
  <si>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</si>
  <si>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</si>
  <si>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</si>
  <si>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</si>
  <si>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</si>
  <si>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</si>
  <si>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</si>
  <si>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Gas</t>
  </si>
  <si>
    <t>Oil Production [bbl/day]</t>
  </si>
  <si>
    <t>Water Production [bbl/day]</t>
  </si>
  <si>
    <t>Di per month</t>
  </si>
  <si>
    <t>b Hyperbolic</t>
  </si>
  <si>
    <t>Age months</t>
  </si>
  <si>
    <t>W5</t>
  </si>
  <si>
    <t>Total Liquids Produced [bbl/dump]</t>
  </si>
  <si>
    <t>Mean Production Time [s]</t>
  </si>
  <si>
    <t>Production Time Variation [s]</t>
  </si>
  <si>
    <t>Shut In Time Variation [percent]</t>
  </si>
  <si>
    <t>W1</t>
  </si>
  <si>
    <t>ContinuousWells</t>
  </si>
  <si>
    <t>Unloading Type [Manual, Automatic]</t>
  </si>
  <si>
    <t>Weekdays Only [Yes, No]</t>
  </si>
  <si>
    <t>Destination of Unloading Gas</t>
  </si>
  <si>
    <t>Yes</t>
  </si>
  <si>
    <t>Min Time Between Unloadings [days]</t>
  </si>
  <si>
    <t>LU Shut-In Duration Min [hours]</t>
  </si>
  <si>
    <t>Max Time Between Unloadings [days]</t>
  </si>
  <si>
    <t>LU Shut-In Duration Max [hours]</t>
  </si>
  <si>
    <t>Unloading Duration Min [hours]</t>
  </si>
  <si>
    <t>Unloading Duration Max [hours]</t>
  </si>
  <si>
    <t>Optional Unloading [True, False]</t>
  </si>
  <si>
    <t>CyclingWells</t>
  </si>
  <si>
    <t>some_vent_ID</t>
  </si>
  <si>
    <t>Approx Planning Time [days]</t>
  </si>
  <si>
    <t>Approx Delay After Planning [days]</t>
  </si>
  <si>
    <t>Approx Drilling Time [days]</t>
  </si>
  <si>
    <t>Approx Delay After Completion [days]</t>
  </si>
  <si>
    <t>Approx Delay After Flow Back [days]</t>
  </si>
  <si>
    <t>Approx Flow Back Time [days]</t>
  </si>
  <si>
    <t>Approx Delay After Drilling [days]</t>
  </si>
  <si>
    <t>Simulation Start Stage [PreProduction, Production]</t>
  </si>
  <si>
    <t>Well.json</t>
  </si>
  <si>
    <t>CycledWell.json</t>
  </si>
  <si>
    <t>ContinuousSeparator.json</t>
  </si>
  <si>
    <t>Manual</t>
  </si>
  <si>
    <t>Completion Durations Name</t>
  </si>
  <si>
    <t>Factor Tag</t>
  </si>
  <si>
    <t>No</t>
  </si>
  <si>
    <t>S2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</si>
  <si>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</si>
  <si>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</si>
  <si>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</si>
  <si>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</si>
  <si>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</si>
  <si>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Stage1</t>
  </si>
  <si>
    <t>Production</t>
  </si>
  <si>
    <t>input/Studies/MEET2/TestCompositionsFF.csv</t>
  </si>
  <si>
    <t>PreProduction</t>
  </si>
  <si>
    <t>Stage2</t>
  </si>
  <si>
    <t>Default-LeakGc</t>
  </si>
  <si>
    <t>Leak GC Name</t>
  </si>
  <si>
    <t>wellpad</t>
  </si>
  <si>
    <t>Well-Condensate.Stage1-Flash</t>
  </si>
  <si>
    <t>Well-Condensate.Stage1-Condensate.Stage2-Flash</t>
  </si>
  <si>
    <t>Leak Gas Composition</t>
  </si>
  <si>
    <t>wellpad_sep</t>
  </si>
  <si>
    <t>Production/WellCompletions/Allen2013/DurationsFake.csv</t>
  </si>
  <si>
    <t>Production\FlashFractions\FlashFractionsTest.csv</t>
  </si>
  <si>
    <t>Facility Type</t>
  </si>
  <si>
    <t>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</si>
</sst>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2" fillId="7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4" sqref="B34"/>
    </sheetView>
  </sheetViews>
  <sheetFormatPr defaultRowHeight="15" x14ac:dyDescent="0.25"/>
  <cols>
    <col min="1" max="1" width="33.140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110</v>
      </c>
      <c r="B4" t="s">
        <v>111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7" sqref="D27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106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98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2"/>
  <sheetViews>
    <sheetView tabSelected="1" topLeftCell="G1" zoomScaleNormal="100" workbookViewId="0">
      <selection activeCell="M15" sqref="M15"/>
    </sheetView>
  </sheetViews>
  <sheetFormatPr defaultRowHeight="15" x14ac:dyDescent="0.25"/>
  <cols>
    <col min="1" max="1" width="11.42578125" bestFit="1" customWidth="1"/>
    <col min="2" max="2" width="13.85546875" bestFit="1" customWidth="1"/>
    <col min="3" max="3" width="7.140625" bestFit="1" customWidth="1"/>
    <col min="4" max="5" width="10.28515625" bestFit="1" customWidth="1"/>
    <col min="6" max="6" width="11.42578125" bestFit="1" customWidth="1"/>
    <col min="7" max="7" width="35.5703125" bestFit="1" customWidth="1"/>
    <col min="8" max="8" width="11.42578125" bestFit="1" customWidth="1"/>
    <col min="9" max="10" width="10.7109375" bestFit="1" customWidth="1"/>
    <col min="11" max="11" width="16.85546875" bestFit="1" customWidth="1"/>
    <col min="12" max="12" width="6.85546875" bestFit="1" customWidth="1"/>
    <col min="13" max="13" width="12.140625" bestFit="1" customWidth="1"/>
    <col min="14" max="14" width="11.5703125" bestFit="1" customWidth="1"/>
    <col min="15" max="18" width="11.5703125" customWidth="1"/>
    <col min="19" max="19" width="39.7109375" bestFit="1" customWidth="1"/>
    <col min="20" max="31" width="11.5703125" customWidth="1"/>
    <col min="32" max="32" width="17.85546875" customWidth="1"/>
    <col min="33" max="33" width="20.85546875" customWidth="1"/>
    <col min="34" max="34" width="8.7109375" bestFit="1" customWidth="1"/>
    <col min="35" max="35" width="19.85546875" bestFit="1" customWidth="1"/>
    <col min="36" max="36" width="59.42578125" bestFit="1" customWidth="1"/>
  </cols>
  <sheetData>
    <row r="1" spans="1:37" s="11" customFormat="1" ht="60" x14ac:dyDescent="0.25">
      <c r="A1" s="8" t="s">
        <v>4</v>
      </c>
      <c r="B1" s="8" t="s">
        <v>7</v>
      </c>
      <c r="C1" s="8" t="s">
        <v>8</v>
      </c>
      <c r="D1" s="8" t="s">
        <v>5</v>
      </c>
      <c r="E1" s="8" t="s">
        <v>6</v>
      </c>
      <c r="F1" s="17" t="s">
        <v>40</v>
      </c>
      <c r="G1" s="17" t="s">
        <v>9</v>
      </c>
      <c r="H1" s="17" t="s">
        <v>10</v>
      </c>
      <c r="I1" s="19" t="s">
        <v>50</v>
      </c>
      <c r="J1" s="19" t="s">
        <v>51</v>
      </c>
      <c r="K1" s="8" t="s">
        <v>41</v>
      </c>
      <c r="L1" s="8" t="s">
        <v>52</v>
      </c>
      <c r="M1" s="8" t="s">
        <v>53</v>
      </c>
      <c r="N1" s="8" t="s">
        <v>54</v>
      </c>
      <c r="O1" s="13" t="s">
        <v>75</v>
      </c>
      <c r="P1" s="13" t="s">
        <v>76</v>
      </c>
      <c r="Q1" s="13" t="s">
        <v>77</v>
      </c>
      <c r="R1" s="13" t="s">
        <v>81</v>
      </c>
      <c r="S1" s="13" t="s">
        <v>87</v>
      </c>
      <c r="T1" s="13" t="s">
        <v>78</v>
      </c>
      <c r="U1" s="13" t="s">
        <v>80</v>
      </c>
      <c r="V1" s="13" t="s">
        <v>79</v>
      </c>
      <c r="W1" s="23" t="s">
        <v>72</v>
      </c>
      <c r="X1" s="23" t="s">
        <v>66</v>
      </c>
      <c r="Y1" s="23" t="s">
        <v>68</v>
      </c>
      <c r="Z1" s="23" t="s">
        <v>62</v>
      </c>
      <c r="AA1" s="23" t="s">
        <v>63</v>
      </c>
      <c r="AB1" s="23" t="s">
        <v>67</v>
      </c>
      <c r="AC1" s="23" t="s">
        <v>69</v>
      </c>
      <c r="AD1" s="23" t="s">
        <v>70</v>
      </c>
      <c r="AE1" s="23" t="s">
        <v>71</v>
      </c>
      <c r="AF1" s="23" t="s">
        <v>64</v>
      </c>
      <c r="AG1" s="23" t="s">
        <v>82</v>
      </c>
      <c r="AH1" s="8" t="s">
        <v>35</v>
      </c>
      <c r="AI1" s="8" t="s">
        <v>102</v>
      </c>
      <c r="AJ1" s="8" t="s">
        <v>43</v>
      </c>
      <c r="AK1" s="12" t="s">
        <v>88</v>
      </c>
    </row>
    <row r="2" spans="1:37" x14ac:dyDescent="0.25">
      <c r="A2" t="s">
        <v>47</v>
      </c>
      <c r="B2" t="s">
        <v>83</v>
      </c>
      <c r="C2" t="s">
        <v>55</v>
      </c>
      <c r="D2">
        <v>6.2270000000808068E-4</v>
      </c>
      <c r="E2">
        <v>3.6642000000002284E-3</v>
      </c>
      <c r="F2" s="15">
        <v>365</v>
      </c>
      <c r="G2" s="15">
        <v>20</v>
      </c>
      <c r="H2" s="15">
        <v>0.02</v>
      </c>
      <c r="I2" s="20">
        <v>24</v>
      </c>
      <c r="J2" s="20">
        <v>24</v>
      </c>
      <c r="K2" t="s">
        <v>49</v>
      </c>
      <c r="O2" s="15">
        <v>1</v>
      </c>
      <c r="P2" s="15">
        <v>0.5</v>
      </c>
      <c r="Q2" s="15">
        <v>1</v>
      </c>
      <c r="R2" s="15">
        <v>0.4</v>
      </c>
      <c r="S2" s="15" t="s">
        <v>108</v>
      </c>
      <c r="T2" s="15">
        <v>0.6</v>
      </c>
      <c r="U2" s="15">
        <v>1</v>
      </c>
      <c r="V2" s="15">
        <v>0.3</v>
      </c>
      <c r="W2" s="20" t="b">
        <v>1</v>
      </c>
      <c r="X2" s="20">
        <v>2</v>
      </c>
      <c r="Y2" s="20">
        <v>3</v>
      </c>
      <c r="Z2" s="20" t="s">
        <v>86</v>
      </c>
      <c r="AA2" s="20" t="s">
        <v>65</v>
      </c>
      <c r="AB2" s="20">
        <v>2</v>
      </c>
      <c r="AC2" s="20">
        <v>3</v>
      </c>
      <c r="AD2" s="20">
        <v>2</v>
      </c>
      <c r="AE2" s="20">
        <v>3</v>
      </c>
      <c r="AF2" s="20" t="s">
        <v>74</v>
      </c>
      <c r="AG2" s="20" t="s">
        <v>99</v>
      </c>
      <c r="AH2" t="s">
        <v>11</v>
      </c>
      <c r="AI2" t="s">
        <v>101</v>
      </c>
      <c r="AJ2" t="s">
        <v>98</v>
      </c>
      <c r="AK2" t="s">
        <v>103</v>
      </c>
    </row>
  </sheetData>
  <phoneticPr fontId="3" type="noConversion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AL2"/>
  <sheetViews>
    <sheetView topLeftCell="P1" workbookViewId="0">
      <selection activeCell="AE14" sqref="AE14"/>
    </sheetView>
  </sheetViews>
  <sheetFormatPr defaultColWidth="15.85546875" defaultRowHeight="15" x14ac:dyDescent="0.25"/>
  <cols>
    <col min="1" max="1" width="11.42578125" bestFit="1" customWidth="1"/>
    <col min="2" max="2" width="19.85546875" bestFit="1" customWidth="1"/>
    <col min="3" max="3" width="7.140625" bestFit="1" customWidth="1"/>
    <col min="4" max="4" width="8.28515625" bestFit="1" customWidth="1"/>
    <col min="5" max="5" width="9.85546875" bestFit="1" customWidth="1"/>
    <col min="7" max="7" width="35.5703125" bestFit="1" customWidth="1"/>
    <col min="8" max="8" width="11.42578125" bestFit="1" customWidth="1"/>
    <col min="9" max="9" width="13.85546875" bestFit="1" customWidth="1"/>
    <col min="10" max="10" width="10.7109375" bestFit="1" customWidth="1"/>
    <col min="11" max="14" width="14.5703125" customWidth="1"/>
    <col min="15" max="15" width="39.7109375" bestFit="1" customWidth="1"/>
    <col min="16" max="18" width="14.5703125" customWidth="1"/>
    <col min="19" max="19" width="12.140625" bestFit="1" customWidth="1"/>
    <col min="20" max="21" width="15.7109375" bestFit="1" customWidth="1"/>
    <col min="22" max="22" width="12" bestFit="1" customWidth="1"/>
    <col min="23" max="23" width="13.42578125" bestFit="1" customWidth="1"/>
    <col min="24" max="32" width="11.5703125" customWidth="1"/>
    <col min="33" max="33" width="17.85546875" customWidth="1"/>
    <col min="34" max="34" width="20.85546875" customWidth="1"/>
    <col min="35" max="35" width="8.7109375" bestFit="1" customWidth="1"/>
    <col min="36" max="36" width="19.85546875" bestFit="1" customWidth="1"/>
    <col min="37" max="37" width="59.42578125" bestFit="1" customWidth="1"/>
    <col min="38" max="38" width="9.85546875" bestFit="1" customWidth="1"/>
  </cols>
  <sheetData>
    <row r="1" spans="1:38" s="11" customFormat="1" ht="60" x14ac:dyDescent="0.25">
      <c r="A1" s="8" t="s">
        <v>4</v>
      </c>
      <c r="B1" s="8" t="s">
        <v>7</v>
      </c>
      <c r="C1" s="8" t="s">
        <v>8</v>
      </c>
      <c r="D1" s="8" t="s">
        <v>5</v>
      </c>
      <c r="E1" s="8" t="s">
        <v>6</v>
      </c>
      <c r="F1" s="17" t="s">
        <v>40</v>
      </c>
      <c r="G1" s="17" t="s">
        <v>9</v>
      </c>
      <c r="H1" s="17" t="s">
        <v>10</v>
      </c>
      <c r="I1" s="18" t="s">
        <v>50</v>
      </c>
      <c r="J1" s="18" t="s">
        <v>51</v>
      </c>
      <c r="K1" s="13" t="s">
        <v>75</v>
      </c>
      <c r="L1" s="13" t="s">
        <v>76</v>
      </c>
      <c r="M1" s="13" t="s">
        <v>77</v>
      </c>
      <c r="N1" s="13" t="s">
        <v>81</v>
      </c>
      <c r="O1" s="13" t="s">
        <v>87</v>
      </c>
      <c r="P1" s="13" t="s">
        <v>78</v>
      </c>
      <c r="Q1" s="13" t="s">
        <v>80</v>
      </c>
      <c r="R1" s="13" t="s">
        <v>79</v>
      </c>
      <c r="S1" s="22" t="s">
        <v>56</v>
      </c>
      <c r="T1" s="22" t="s">
        <v>57</v>
      </c>
      <c r="U1" s="22" t="s">
        <v>58</v>
      </c>
      <c r="V1" s="22" t="s">
        <v>59</v>
      </c>
      <c r="W1" s="8" t="s">
        <v>41</v>
      </c>
      <c r="X1" s="23" t="s">
        <v>72</v>
      </c>
      <c r="Y1" s="23" t="s">
        <v>66</v>
      </c>
      <c r="Z1" s="23" t="s">
        <v>68</v>
      </c>
      <c r="AA1" s="23" t="s">
        <v>62</v>
      </c>
      <c r="AB1" s="23" t="s">
        <v>63</v>
      </c>
      <c r="AC1" s="23" t="s">
        <v>67</v>
      </c>
      <c r="AD1" s="23" t="s">
        <v>69</v>
      </c>
      <c r="AE1" s="23" t="s">
        <v>70</v>
      </c>
      <c r="AF1" s="23" t="s">
        <v>71</v>
      </c>
      <c r="AG1" s="23" t="s">
        <v>64</v>
      </c>
      <c r="AH1" s="13" t="s">
        <v>82</v>
      </c>
      <c r="AI1" s="8" t="s">
        <v>35</v>
      </c>
      <c r="AJ1" s="8" t="s">
        <v>102</v>
      </c>
      <c r="AK1" s="8" t="s">
        <v>43</v>
      </c>
      <c r="AL1" s="12" t="s">
        <v>88</v>
      </c>
    </row>
    <row r="2" spans="1:38" x14ac:dyDescent="0.25">
      <c r="A2" t="s">
        <v>47</v>
      </c>
      <c r="B2" t="s">
        <v>84</v>
      </c>
      <c r="C2" t="s">
        <v>60</v>
      </c>
      <c r="D2">
        <v>0</v>
      </c>
      <c r="E2">
        <v>0</v>
      </c>
      <c r="F2" s="15">
        <v>365</v>
      </c>
      <c r="G2" s="15">
        <v>10</v>
      </c>
      <c r="H2" s="15">
        <v>0.02</v>
      </c>
      <c r="I2" s="16">
        <v>24</v>
      </c>
      <c r="J2" s="16">
        <v>48</v>
      </c>
      <c r="K2" s="15">
        <v>1</v>
      </c>
      <c r="L2" s="15">
        <v>0.5</v>
      </c>
      <c r="M2" s="15">
        <v>1</v>
      </c>
      <c r="N2" s="15">
        <v>0.4</v>
      </c>
      <c r="O2" s="15" t="s">
        <v>108</v>
      </c>
      <c r="P2" s="15">
        <v>0.6</v>
      </c>
      <c r="Q2" s="15">
        <v>1</v>
      </c>
      <c r="R2" s="15">
        <v>0.3</v>
      </c>
      <c r="S2" s="21">
        <v>0.5</v>
      </c>
      <c r="T2" s="21">
        <v>60</v>
      </c>
      <c r="U2" s="21">
        <v>10</v>
      </c>
      <c r="V2" s="21">
        <v>10</v>
      </c>
      <c r="W2" t="s">
        <v>49</v>
      </c>
      <c r="X2" s="20" t="b">
        <v>1</v>
      </c>
      <c r="Y2" s="20">
        <v>2</v>
      </c>
      <c r="Z2" s="20">
        <v>3</v>
      </c>
      <c r="AA2" s="20" t="s">
        <v>86</v>
      </c>
      <c r="AB2" s="20" t="s">
        <v>89</v>
      </c>
      <c r="AC2" s="20">
        <v>2</v>
      </c>
      <c r="AD2" s="20">
        <v>3</v>
      </c>
      <c r="AE2" s="20">
        <v>2</v>
      </c>
      <c r="AF2" s="20">
        <v>3</v>
      </c>
      <c r="AG2" s="20" t="s">
        <v>74</v>
      </c>
      <c r="AH2" s="15" t="s">
        <v>97</v>
      </c>
      <c r="AI2" t="s">
        <v>11</v>
      </c>
      <c r="AJ2" t="s">
        <v>101</v>
      </c>
      <c r="AK2" t="s">
        <v>98</v>
      </c>
      <c r="AL2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topLeftCell="E1" workbookViewId="0">
      <selection activeCell="K20" sqref="K20"/>
    </sheetView>
  </sheetViews>
  <sheetFormatPr defaultRowHeight="15" x14ac:dyDescent="0.25"/>
  <cols>
    <col min="1" max="1" width="11.42578125" bestFit="1" customWidth="1"/>
    <col min="2" max="2" width="13.42578125" customWidth="1"/>
    <col min="3" max="3" width="11.42578125" bestFit="1" customWidth="1"/>
    <col min="4" max="4" width="35.5703125" bestFit="1" customWidth="1"/>
    <col min="5" max="5" width="11.42578125" bestFit="1" customWidth="1"/>
    <col min="6" max="6" width="10.28515625" style="4" customWidth="1"/>
    <col min="7" max="8" width="13.28515625" customWidth="1"/>
    <col min="9" max="9" width="17.140625" customWidth="1"/>
    <col min="10" max="10" width="17.28515625" customWidth="1"/>
    <col min="11" max="11" width="34.85546875" bestFit="1" customWidth="1"/>
    <col min="12" max="12" width="7.85546875" bestFit="1" customWidth="1"/>
    <col min="13" max="13" width="16.28515625" customWidth="1"/>
    <col min="14" max="14" width="28.85546875" bestFit="1" customWidth="1"/>
    <col min="15" max="15" width="47.140625" bestFit="1" customWidth="1"/>
    <col min="16" max="16" width="9.85546875" bestFit="1" customWidth="1"/>
  </cols>
  <sheetData>
    <row r="1" spans="1:16" s="11" customFormat="1" ht="60" x14ac:dyDescent="0.25">
      <c r="A1" s="8" t="s">
        <v>4</v>
      </c>
      <c r="B1" s="8" t="s">
        <v>8</v>
      </c>
      <c r="C1" s="9" t="s">
        <v>40</v>
      </c>
      <c r="D1" s="9" t="s">
        <v>9</v>
      </c>
      <c r="E1" s="9" t="s">
        <v>10</v>
      </c>
      <c r="F1" s="8" t="s">
        <v>41</v>
      </c>
      <c r="G1" s="14" t="s">
        <v>91</v>
      </c>
      <c r="H1" s="14" t="s">
        <v>92</v>
      </c>
      <c r="I1" s="14" t="s">
        <v>93</v>
      </c>
      <c r="J1" s="14" t="s">
        <v>94</v>
      </c>
      <c r="K1" s="14" t="s">
        <v>95</v>
      </c>
      <c r="L1" s="10" t="s">
        <v>38</v>
      </c>
      <c r="M1" s="10" t="s">
        <v>36</v>
      </c>
      <c r="N1" s="8" t="s">
        <v>7</v>
      </c>
      <c r="O1" s="8" t="s">
        <v>102</v>
      </c>
      <c r="P1" s="8" t="s">
        <v>88</v>
      </c>
    </row>
    <row r="2" spans="1:16" s="2" customFormat="1" x14ac:dyDescent="0.25">
      <c r="A2" t="s">
        <v>47</v>
      </c>
      <c r="B2" t="s">
        <v>48</v>
      </c>
      <c r="C2" s="7">
        <v>365</v>
      </c>
      <c r="D2" s="7">
        <v>20</v>
      </c>
      <c r="E2" s="7">
        <v>0.02</v>
      </c>
      <c r="F2" s="4" t="s">
        <v>42</v>
      </c>
      <c r="G2" s="16">
        <v>1</v>
      </c>
      <c r="H2" s="16">
        <v>1E-4</v>
      </c>
      <c r="I2" s="16">
        <v>1</v>
      </c>
      <c r="J2" s="16">
        <v>1</v>
      </c>
      <c r="K2" s="16" t="s">
        <v>109</v>
      </c>
      <c r="L2">
        <v>1</v>
      </c>
      <c r="M2" t="s">
        <v>96</v>
      </c>
      <c r="N2" t="s">
        <v>85</v>
      </c>
      <c r="O2" t="s">
        <v>104</v>
      </c>
      <c r="P2" t="s">
        <v>107</v>
      </c>
    </row>
    <row r="3" spans="1:16" s="2" customFormat="1" x14ac:dyDescent="0.25">
      <c r="A3" t="s">
        <v>47</v>
      </c>
      <c r="B3" t="s">
        <v>90</v>
      </c>
      <c r="C3" s="7">
        <v>365</v>
      </c>
      <c r="D3" s="7">
        <v>20</v>
      </c>
      <c r="E3" s="7">
        <v>0.02</v>
      </c>
      <c r="F3" s="4" t="s">
        <v>42</v>
      </c>
      <c r="G3" s="16">
        <v>1</v>
      </c>
      <c r="H3" s="16">
        <v>1E-4</v>
      </c>
      <c r="I3" s="16">
        <v>1</v>
      </c>
      <c r="J3" s="16">
        <v>1</v>
      </c>
      <c r="K3" s="16" t="s">
        <v>109</v>
      </c>
      <c r="L3">
        <v>1</v>
      </c>
      <c r="M3" t="s">
        <v>100</v>
      </c>
      <c r="N3" t="s">
        <v>85</v>
      </c>
      <c r="O3" t="s">
        <v>105</v>
      </c>
      <c r="P3" t="s">
        <v>107</v>
      </c>
    </row>
  </sheetData>
  <phoneticPr fontId="3" type="noConversion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5"/>
  <sheetViews>
    <sheetView workbookViewId="0">
      <selection activeCell="D28" sqref="D28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0.140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6" t="s">
        <v>27</v>
      </c>
      <c r="G1" s="6" t="s">
        <v>28</v>
      </c>
    </row>
    <row r="2" spans="1:7" x14ac:dyDescent="0.25">
      <c r="A2" t="s">
        <v>30</v>
      </c>
      <c r="B2" t="s">
        <v>47</v>
      </c>
      <c r="C2" t="s">
        <v>55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55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60</v>
      </c>
      <c r="D4" t="s">
        <v>47</v>
      </c>
      <c r="E4" t="s">
        <v>90</v>
      </c>
      <c r="F4" t="s">
        <v>29</v>
      </c>
    </row>
    <row r="5" spans="1:7" x14ac:dyDescent="0.25">
      <c r="A5" t="s">
        <v>30</v>
      </c>
      <c r="B5" t="s">
        <v>47</v>
      </c>
      <c r="C5" t="s">
        <v>60</v>
      </c>
      <c r="D5" t="s">
        <v>47</v>
      </c>
      <c r="E5" t="s">
        <v>90</v>
      </c>
      <c r="F5" t="s">
        <v>37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6"/>
  <sheetViews>
    <sheetView workbookViewId="0">
      <selection activeCell="D23" sqref="D23"/>
    </sheetView>
  </sheetViews>
  <sheetFormatPr defaultRowHeight="15" x14ac:dyDescent="0.25"/>
  <cols>
    <col min="1" max="1" width="19.28515625" bestFit="1" customWidth="1"/>
    <col min="2" max="2" width="14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>"FFDump"&amp;C2</f>
        <v>FFDump500</v>
      </c>
      <c r="C2">
        <v>500</v>
      </c>
    </row>
    <row r="3" spans="1:3" x14ac:dyDescent="0.25">
      <c r="A3" t="s">
        <v>34</v>
      </c>
      <c r="B3" t="str">
        <f>"FFDump"&amp;C3</f>
        <v>FFDump600</v>
      </c>
      <c r="C3">
        <v>600</v>
      </c>
    </row>
    <row r="4" spans="1:3" x14ac:dyDescent="0.25">
      <c r="A4" t="s">
        <v>34</v>
      </c>
      <c r="B4" t="str">
        <f>"FFDump"&amp;C4</f>
        <v>FFDump601</v>
      </c>
      <c r="C4">
        <v>601</v>
      </c>
    </row>
    <row r="5" spans="1:3" x14ac:dyDescent="0.25">
      <c r="A5" t="s">
        <v>34</v>
      </c>
      <c r="B5" t="str">
        <f>"FFDump"&amp;C5</f>
        <v>FFDump590</v>
      </c>
      <c r="C5">
        <v>590</v>
      </c>
    </row>
    <row r="6" spans="1:3" x14ac:dyDescent="0.25">
      <c r="A6" t="s">
        <v>34</v>
      </c>
      <c r="B6" t="str">
        <f>"FFDump"&amp;C6</f>
        <v>FFDump50</v>
      </c>
      <c r="C6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J27" sqref="J27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73</v>
      </c>
      <c r="B3" t="s">
        <v>73</v>
      </c>
    </row>
    <row r="4" spans="1:2" x14ac:dyDescent="0.25">
      <c r="A4" t="s">
        <v>61</v>
      </c>
      <c r="B4" t="s">
        <v>61</v>
      </c>
    </row>
    <row r="5" spans="1:2" x14ac:dyDescent="0.25">
      <c r="A5" t="s">
        <v>31</v>
      </c>
      <c r="B5" t="s">
        <v>31</v>
      </c>
    </row>
    <row r="6" spans="1:2" x14ac:dyDescent="0.25">
      <c r="A6" t="s">
        <v>44</v>
      </c>
      <c r="B6" t="s">
        <v>44</v>
      </c>
    </row>
    <row r="7" spans="1:2" x14ac:dyDescent="0.25">
      <c r="A7" t="s">
        <v>22</v>
      </c>
      <c r="B7" t="s">
        <v>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ContinuousWells</vt:lpstr>
      <vt:lpstr>CyclingWells</vt:lpstr>
      <vt:lpstr>Separators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2024-04-04T14:30:27Z</dcterms:modified>
</cp:coreProperties>
</file>