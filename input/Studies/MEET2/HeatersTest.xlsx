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METEC\MAES2\input\Studies\MEET2\"/>
    </mc:Choice>
  </mc:AlternateContent>
  <xr:revisionPtr revIDLastSave="0" documentId="13_ncr:1_{E6EBA8A3-A13E-40BB-A1B2-9E6EF83273A9}" xr6:coauthVersionLast="47" xr6:coauthVersionMax="47" xr10:uidLastSave="{00000000-0000-0000-0000-000000000000}"/>
  <bookViews>
    <workbookView xWindow="-120" yWindow="-120" windowWidth="29040" windowHeight="15720" tabRatio="937" activeTab="6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Heaters" sheetId="27" r:id="rId7"/>
    <sheet name="TankBattery" sheetId="23" r:id="rId8"/>
    <sheet name="Flares" sheetId="24" r:id="rId9"/>
    <sheet name="Probes" sheetId="22" r:id="rId10"/>
    <sheet name="FFLinks" sheetId="16" r:id="rId11"/>
    <sheet name="Debug" sheetId="17" r:id="rId12"/>
    <sheet name="Master Equipment" sheetId="14" r:id="rId13"/>
    <sheet name="MAll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<sst xmlns="http://schemas.openxmlformats.org/spreadsheetml/2006/main" count="467" uniqueCount="180">
  <si>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</si>
  <si>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</si>
  <si>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</si>
  <si>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</si>
  <si>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</si>
  <si>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</si>
  <si>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</si>
  <si>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</si>
  <si>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</si>
  <si>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</si>
  <si>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</si>
  <si>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</si>
  <si>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</si>
  <si>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</si>
  <si>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</si>
  <si>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</si>
  <si>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</si>
  <si>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</si>
  <si>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</si>
  <si>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</si>
  <si>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</si>
  <si>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</si>
  <si>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Note</t>
  </si>
  <si>
    <t>output/Site_1/MC_{scenarioTimestamp}</t>
  </si>
  <si>
    <t>E:/OGCI Runs/Site1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</si>
  <si>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</si>
  <si>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</si>
  <si>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</si>
  <si>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</si>
  <si>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</si>
  <si>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</si>
  <si>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</si>
  <si>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</si>
  <si>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</si>
  <si>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</si>
  <si>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</si>
  <si>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</si>
  <si>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</si>
  <si>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</si>
  <si>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</si>
  <si>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</si>
  <si>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</si>
  <si>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</si>
  <si>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</si>
  <si>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</si>
  <si>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</si>
  <si>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</si>
  <si>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</si>
  <si>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</si>
  <si>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</si>
  <si>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</si>
  <si>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</si>
  <si>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output/Site_1/MC_Last_{scenarioTimestamp}</t>
  </si>
  <si>
    <t>S1</t>
  </si>
  <si>
    <t>W1</t>
  </si>
  <si>
    <t>Probe.json</t>
  </si>
  <si>
    <t>Vapor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</si>
  <si>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</si>
  <si>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</si>
  <si>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</si>
  <si>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</si>
  <si>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</si>
  <si>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</si>
  <si>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</si>
  <si>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</si>
  <si>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</si>
  <si>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</si>
  <si>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</si>
  <si>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</si>
  <si>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output/CycledWellDumpingSeparator/MC_{scenarioTimestamp}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</si>
  <si>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</si>
  <si>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</si>
  <si>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</si>
  <si>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</si>
  <si>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</si>
  <si>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</si>
  <si>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</si>
  <si>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</si>
  <si>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</si>
  <si>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</si>
  <si>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</si>
  <si>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</si>
  <si>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</si>
  <si>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</si>
  <si>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</si>
  <si>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</si>
  <si>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</si>
  <si>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</si>
  <si>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</si>
  <si>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</si>
  <si>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</si>
  <si>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</si>
  <si>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</si>
  <si>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</si>
  <si>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</si>
  <si>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</si>
  <si>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</si>
  <si>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</si>
  <si>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</si>
  <si>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</si>
  <si>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</si>
  <si>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</si>
  <si>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</si>
  <si>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</si>
  <si>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</si>
  <si>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</si>
  <si>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</si>
  <si>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</si>
  <si>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</si>
  <si>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</si>
  <si>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</si>
  <si>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</si>
  <si>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</si>
  <si>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</si>
  <si>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</si>
  <si>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</si>
  <si>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</si>
  <si>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</si>
  <si>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</si>
  <si>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</si>
  <si>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</si>
  <si>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</si>
  <si>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</si>
  <si>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</si>
  <si>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</si>
  <si>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</si>
  <si>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</si>
  <si>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</si>
  <si>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</si>
  <si>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</si>
  <si>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</si>
  <si>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</si>
  <si>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</si>
  <si>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</si>
  <si>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</si>
  <si>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</si>
  <si>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</si>
  <si>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</si>
  <si>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</si>
  <si>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</si>
  <si>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</si>
  <si>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</si>
  <si>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</si>
  <si>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</si>
  <si>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</si>
  <si>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PreProduction</t>
  </si>
  <si>
    <t>WellCompletions/Allen2013/DurationsFake.csv</t>
  </si>
  <si>
    <t>Di per month</t>
  </si>
  <si>
    <t>b Hyperbolic</t>
  </si>
  <si>
    <t>Age months</t>
  </si>
  <si>
    <t>Well.json</t>
  </si>
  <si>
    <t>Yes</t>
  </si>
  <si>
    <t>ContinuousWells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</si>
  <si>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</si>
  <si>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</si>
  <si>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</si>
  <si>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</si>
  <si>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</si>
  <si>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</si>
  <si>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</si>
  <si>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</si>
  <si>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</si>
  <si>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wellpad_tanks</t>
  </si>
  <si>
    <t>wellpad_flare</t>
  </si>
  <si>
    <t>Leak Gas Composition</t>
  </si>
  <si>
    <t>heater1</t>
  </si>
  <si>
    <t>Heater.json</t>
  </si>
  <si>
    <t>Heaters</t>
  </si>
  <si>
    <t>condensate_gas_sales</t>
  </si>
  <si>
    <t>output/HeatersTest/MC_Last</t>
  </si>
  <si>
    <t>Heater Power [kJ/s]</t>
  </si>
  <si>
    <t>input/Studies/MEET2/HeatersTestGC.csv</t>
  </si>
  <si>
    <t>pShutIn</t>
  </si>
  <si>
    <t>Shut In Duration min [days]</t>
  </si>
  <si>
    <t>Shut In Duration max [days]</t>
  </si>
  <si>
    <t>water_gas_sales</t>
  </si>
  <si>
    <t>Facility Type</t>
  </si>
  <si>
    <t>Common</t>
  </si>
  <si>
    <t>Production\FlashFractions\FlashFractionsTest.csv</t>
  </si>
  <si>
    <t>Production\WellCompletions\Allen2013\DurationsFake.csv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</si>
</sst>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0" fillId="12" borderId="0" xfId="0" applyFill="1"/>
    <xf numFmtId="0" fontId="1" fillId="13" borderId="1" xfId="0" applyFont="1" applyFill="1" applyBorder="1" applyAlignment="1">
      <alignment horizontal="center" vertical="center" wrapText="1"/>
    </xf>
    <xf numFmtId="0" fontId="0" fillId="13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100</v>
      </c>
    </row>
    <row r="3" spans="1:2" x14ac:dyDescent="0.25">
      <c r="A3" t="s">
        <v>3</v>
      </c>
      <c r="B3">
        <v>2</v>
      </c>
    </row>
    <row r="4" spans="1:2" x14ac:dyDescent="0.25">
      <c r="A4" s="33" t="s">
        <v>4</v>
      </c>
      <c r="B4" t="s">
        <v>169</v>
      </c>
    </row>
    <row r="5" spans="1:2" x14ac:dyDescent="0.25">
      <c r="A5" t="s">
        <v>22</v>
      </c>
      <c r="B5" t="s">
        <v>52</v>
      </c>
    </row>
    <row r="6" spans="1:2" x14ac:dyDescent="0.25">
      <c r="A6" t="s">
        <v>22</v>
      </c>
      <c r="B6" t="s">
        <v>23</v>
      </c>
    </row>
    <row r="7" spans="1:2" x14ac:dyDescent="0.25">
      <c r="A7" t="s">
        <v>22</v>
      </c>
      <c r="B7" t="s">
        <v>69</v>
      </c>
    </row>
    <row r="8" spans="1:2" x14ac:dyDescent="0.25">
      <c r="A8" t="s">
        <v>22</v>
      </c>
      <c r="B8" t="s">
        <v>24</v>
      </c>
    </row>
    <row r="9" spans="1:2" x14ac:dyDescent="0.25">
      <c r="A9" t="s">
        <v>58</v>
      </c>
    </row>
    <row r="10" spans="1:2" x14ac:dyDescent="0.25">
      <c r="A10" t="s">
        <v>176</v>
      </c>
      <c r="B10" t="s">
        <v>177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164</v>
      </c>
      <c r="E1" s="3" t="s">
        <v>8</v>
      </c>
    </row>
    <row r="2" spans="1:5" x14ac:dyDescent="0.25">
      <c r="A2" t="s">
        <v>51</v>
      </c>
      <c r="B2" s="5">
        <v>0</v>
      </c>
      <c r="C2" s="5">
        <v>0</v>
      </c>
      <c r="D2" t="s">
        <v>107</v>
      </c>
      <c r="E2" t="s">
        <v>25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topLeftCell="C1" workbookViewId="0">
      <selection activeCell="M26" sqref="M26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13" t="s">
        <v>60</v>
      </c>
      <c r="J1" s="13" t="s">
        <v>61</v>
      </c>
      <c r="K1" s="18" t="s">
        <v>70</v>
      </c>
      <c r="L1" s="18" t="s">
        <v>71</v>
      </c>
      <c r="M1" s="18" t="s">
        <v>72</v>
      </c>
      <c r="N1" s="18" t="s">
        <v>73</v>
      </c>
      <c r="O1" s="7" t="s">
        <v>45</v>
      </c>
      <c r="P1" s="7" t="s">
        <v>39</v>
      </c>
      <c r="Q1" s="7" t="s">
        <v>154</v>
      </c>
      <c r="R1" s="7" t="s">
        <v>47</v>
      </c>
      <c r="S1" s="7" t="s">
        <v>74</v>
      </c>
    </row>
    <row r="2" spans="1:19" x14ac:dyDescent="0.25">
      <c r="A2" t="s">
        <v>51</v>
      </c>
      <c r="B2" t="s">
        <v>59</v>
      </c>
      <c r="C2" t="s">
        <v>54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20">
        <v>1</v>
      </c>
      <c r="L2" s="20">
        <v>60</v>
      </c>
      <c r="M2" s="20">
        <v>3</v>
      </c>
      <c r="N2" s="20">
        <v>3</v>
      </c>
      <c r="O2" t="s">
        <v>75</v>
      </c>
      <c r="P2" t="s">
        <v>12</v>
      </c>
      <c r="Q2" t="s">
        <v>121</v>
      </c>
      <c r="R2" t="s">
        <v>171</v>
      </c>
      <c r="S2" t="s">
        <v>155</v>
      </c>
    </row>
    <row r="3" spans="1:19" x14ac:dyDescent="0.25">
      <c r="A3" t="s">
        <v>51</v>
      </c>
      <c r="B3" t="s">
        <v>59</v>
      </c>
      <c r="C3" t="s">
        <v>122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20">
        <v>1</v>
      </c>
      <c r="L3" s="20">
        <v>60</v>
      </c>
      <c r="M3" s="20">
        <v>3</v>
      </c>
      <c r="N3" s="20">
        <v>3</v>
      </c>
      <c r="O3" t="s">
        <v>75</v>
      </c>
      <c r="P3" t="s">
        <v>12</v>
      </c>
      <c r="Q3" t="s">
        <v>121</v>
      </c>
      <c r="R3" t="s">
        <v>171</v>
      </c>
      <c r="S3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topLeftCell="Y1" workbookViewId="0">
      <selection activeCell="AL4" sqref="AL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13" t="s">
        <v>60</v>
      </c>
      <c r="J1" s="13" t="s">
        <v>61</v>
      </c>
      <c r="K1" s="36" t="s">
        <v>123</v>
      </c>
      <c r="L1" s="36" t="s">
        <v>124</v>
      </c>
      <c r="M1" s="36" t="s">
        <v>125</v>
      </c>
      <c r="N1" s="36" t="s">
        <v>126</v>
      </c>
      <c r="O1" s="36" t="s">
        <v>127</v>
      </c>
      <c r="P1" s="36" t="s">
        <v>128</v>
      </c>
      <c r="Q1" s="36" t="s">
        <v>129</v>
      </c>
      <c r="R1" s="36" t="s">
        <v>130</v>
      </c>
      <c r="S1" s="18" t="s">
        <v>70</v>
      </c>
      <c r="T1" s="18" t="s">
        <v>71</v>
      </c>
      <c r="U1" s="18" t="s">
        <v>72</v>
      </c>
      <c r="V1" s="18" t="s">
        <v>73</v>
      </c>
      <c r="W1" s="7" t="s">
        <v>45</v>
      </c>
      <c r="X1" s="27" t="s">
        <v>131</v>
      </c>
      <c r="Y1" s="27" t="s">
        <v>132</v>
      </c>
      <c r="Z1" s="27" t="s">
        <v>133</v>
      </c>
      <c r="AA1" s="27" t="s">
        <v>134</v>
      </c>
      <c r="AB1" s="27" t="s">
        <v>135</v>
      </c>
      <c r="AC1" s="27" t="s">
        <v>136</v>
      </c>
      <c r="AD1" s="27" t="s">
        <v>137</v>
      </c>
      <c r="AE1" s="27" t="s">
        <v>138</v>
      </c>
      <c r="AF1" s="27" t="s">
        <v>139</v>
      </c>
      <c r="AG1" s="27" t="s">
        <v>140</v>
      </c>
      <c r="AH1" s="36" t="s">
        <v>141</v>
      </c>
      <c r="AI1" s="7" t="s">
        <v>39</v>
      </c>
      <c r="AJ1" s="7" t="s">
        <v>154</v>
      </c>
      <c r="AK1" s="7" t="s">
        <v>47</v>
      </c>
      <c r="AL1" s="7" t="s">
        <v>74</v>
      </c>
    </row>
    <row r="2" spans="1:38" x14ac:dyDescent="0.25">
      <c r="A2" t="s">
        <v>51</v>
      </c>
      <c r="B2" t="s">
        <v>59</v>
      </c>
      <c r="C2" t="s">
        <v>54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146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75</v>
      </c>
      <c r="X2" s="31" t="b">
        <v>1</v>
      </c>
      <c r="Y2" s="31">
        <v>2</v>
      </c>
      <c r="Z2" s="31">
        <v>3</v>
      </c>
      <c r="AA2" s="31" t="s">
        <v>142</v>
      </c>
      <c r="AB2" s="31" t="s">
        <v>143</v>
      </c>
      <c r="AC2" s="31">
        <v>2</v>
      </c>
      <c r="AD2" s="31">
        <v>3</v>
      </c>
      <c r="AE2" s="31">
        <v>2</v>
      </c>
      <c r="AF2" s="31">
        <v>3</v>
      </c>
      <c r="AG2" s="31" t="s">
        <v>144</v>
      </c>
      <c r="AH2" s="19" t="s">
        <v>145</v>
      </c>
      <c r="AI2" t="s">
        <v>12</v>
      </c>
      <c r="AJ2" t="s">
        <v>121</v>
      </c>
      <c r="AK2" t="s">
        <v>107</v>
      </c>
      <c r="AL2" t="s">
        <v>155</v>
      </c>
    </row>
    <row r="3" spans="1:38" x14ac:dyDescent="0.25">
      <c r="A3" t="s">
        <v>51</v>
      </c>
      <c r="B3" t="s">
        <v>59</v>
      </c>
      <c r="C3" t="s">
        <v>122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146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75</v>
      </c>
      <c r="X3" s="31" t="b">
        <v>1</v>
      </c>
      <c r="Y3" s="31">
        <v>2</v>
      </c>
      <c r="Z3" s="31">
        <v>3</v>
      </c>
      <c r="AA3" s="31" t="s">
        <v>142</v>
      </c>
      <c r="AB3" s="31" t="s">
        <v>143</v>
      </c>
      <c r="AC3" s="31">
        <v>2</v>
      </c>
      <c r="AD3" s="31">
        <v>3</v>
      </c>
      <c r="AE3" s="31">
        <v>2</v>
      </c>
      <c r="AF3" s="31">
        <v>3</v>
      </c>
      <c r="AG3" s="31" t="s">
        <v>144</v>
      </c>
      <c r="AH3" s="19" t="s">
        <v>145</v>
      </c>
      <c r="AI3" t="s">
        <v>12</v>
      </c>
      <c r="AJ3" t="s">
        <v>121</v>
      </c>
      <c r="AK3" t="s">
        <v>107</v>
      </c>
      <c r="AL3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AK3"/>
  <sheetViews>
    <sheetView workbookViewId="0">
      <selection activeCell="M19" sqref="M19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6" width="8.7109375" bestFit="1" customWidth="1"/>
    <col min="17" max="18" width="7.42578125" bestFit="1" customWidth="1"/>
    <col min="19" max="19" width="44" bestFit="1" customWidth="1"/>
    <col min="21" max="22" width="7.42578125" bestFit="1" customWidth="1"/>
    <col min="28" max="29" width="8.7109375" bestFit="1" customWidth="1"/>
    <col min="32" max="32" width="13.85546875" bestFit="1" customWidth="1"/>
    <col min="33" max="33" width="10.7109375" bestFit="1" customWidth="1"/>
    <col min="34" max="34" width="8.7109375" bestFit="1" customWidth="1"/>
    <col min="35" max="35" width="14.5703125" bestFit="1" customWidth="1"/>
    <col min="36" max="36" width="42.85546875" bestFit="1" customWidth="1"/>
  </cols>
  <sheetData>
    <row r="1" spans="1:37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37" t="s">
        <v>60</v>
      </c>
      <c r="J1" s="37" t="s">
        <v>61</v>
      </c>
      <c r="K1" s="7" t="s">
        <v>45</v>
      </c>
      <c r="L1" s="7" t="s">
        <v>147</v>
      </c>
      <c r="M1" s="7" t="s">
        <v>148</v>
      </c>
      <c r="N1" s="7" t="s">
        <v>149</v>
      </c>
      <c r="O1" s="36" t="s">
        <v>123</v>
      </c>
      <c r="P1" s="36" t="s">
        <v>124</v>
      </c>
      <c r="Q1" s="36" t="s">
        <v>125</v>
      </c>
      <c r="R1" s="36" t="s">
        <v>126</v>
      </c>
      <c r="S1" s="36" t="s">
        <v>127</v>
      </c>
      <c r="T1" s="36" t="s">
        <v>128</v>
      </c>
      <c r="U1" s="36" t="s">
        <v>129</v>
      </c>
      <c r="V1" s="36" t="s">
        <v>130</v>
      </c>
      <c r="W1" s="27" t="s">
        <v>131</v>
      </c>
      <c r="X1" s="27" t="s">
        <v>132</v>
      </c>
      <c r="Y1" s="27" t="s">
        <v>133</v>
      </c>
      <c r="Z1" s="27" t="s">
        <v>134</v>
      </c>
      <c r="AA1" s="27" t="s">
        <v>135</v>
      </c>
      <c r="AB1" s="27" t="s">
        <v>136</v>
      </c>
      <c r="AC1" s="27" t="s">
        <v>137</v>
      </c>
      <c r="AD1" s="27" t="s">
        <v>138</v>
      </c>
      <c r="AE1" s="27" t="s">
        <v>139</v>
      </c>
      <c r="AF1" s="27" t="s">
        <v>140</v>
      </c>
      <c r="AG1" s="27" t="s">
        <v>141</v>
      </c>
      <c r="AH1" s="7" t="s">
        <v>39</v>
      </c>
      <c r="AI1" s="7" t="s">
        <v>154</v>
      </c>
      <c r="AJ1" s="7" t="s">
        <v>47</v>
      </c>
      <c r="AK1" s="11" t="s">
        <v>74</v>
      </c>
    </row>
    <row r="2" spans="1:37" x14ac:dyDescent="0.25">
      <c r="A2" t="s">
        <v>51</v>
      </c>
      <c r="B2" t="s">
        <v>150</v>
      </c>
      <c r="C2" t="s">
        <v>54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75</v>
      </c>
      <c r="L2">
        <v>0</v>
      </c>
      <c r="M2">
        <v>1E-4</v>
      </c>
      <c r="N2">
        <v>1</v>
      </c>
      <c r="O2" s="19">
        <v>1</v>
      </c>
      <c r="P2" s="19">
        <v>0.5</v>
      </c>
      <c r="Q2" s="19">
        <v>1</v>
      </c>
      <c r="R2" s="19">
        <v>0.4</v>
      </c>
      <c r="S2" s="19" t="s">
        <v>179</v>
      </c>
      <c r="T2" s="19">
        <v>0.6</v>
      </c>
      <c r="U2" s="19">
        <v>1</v>
      </c>
      <c r="V2" s="19">
        <v>0.3</v>
      </c>
      <c r="W2" s="31" t="b">
        <v>0</v>
      </c>
      <c r="X2" s="31">
        <v>2</v>
      </c>
      <c r="Y2" s="31">
        <v>3</v>
      </c>
      <c r="Z2" s="31" t="s">
        <v>142</v>
      </c>
      <c r="AA2" s="31" t="s">
        <v>151</v>
      </c>
      <c r="AB2" s="31">
        <v>2</v>
      </c>
      <c r="AC2" s="31">
        <v>3</v>
      </c>
      <c r="AD2" s="31">
        <v>2</v>
      </c>
      <c r="AE2" s="31">
        <v>3</v>
      </c>
      <c r="AF2" s="31" t="s">
        <v>144</v>
      </c>
      <c r="AG2" s="31" t="s">
        <v>160</v>
      </c>
      <c r="AH2" t="s">
        <v>12</v>
      </c>
      <c r="AI2" t="s">
        <v>121</v>
      </c>
      <c r="AJ2" t="s">
        <v>171</v>
      </c>
      <c r="AK2" t="s">
        <v>155</v>
      </c>
    </row>
    <row r="3" spans="1:37" x14ac:dyDescent="0.25">
      <c r="A3" t="s">
        <v>51</v>
      </c>
      <c r="B3" t="s">
        <v>150</v>
      </c>
      <c r="C3" t="s">
        <v>122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1">
        <v>12</v>
      </c>
      <c r="J3" s="31">
        <v>12</v>
      </c>
      <c r="K3" t="s">
        <v>75</v>
      </c>
      <c r="L3">
        <v>0</v>
      </c>
      <c r="M3">
        <v>1E-4</v>
      </c>
      <c r="N3">
        <v>1</v>
      </c>
      <c r="O3" s="19">
        <v>1</v>
      </c>
      <c r="P3" s="19">
        <v>0.5</v>
      </c>
      <c r="Q3" s="19">
        <v>1</v>
      </c>
      <c r="R3" s="19">
        <v>0.4</v>
      </c>
      <c r="S3" s="19" t="s">
        <v>179</v>
      </c>
      <c r="T3" s="19">
        <v>0.6</v>
      </c>
      <c r="U3" s="19">
        <v>1</v>
      </c>
      <c r="V3" s="19">
        <v>0.3</v>
      </c>
      <c r="W3" s="31" t="b">
        <v>0</v>
      </c>
      <c r="X3" s="31">
        <v>2</v>
      </c>
      <c r="Y3" s="31">
        <v>3</v>
      </c>
      <c r="Z3" s="31" t="s">
        <v>142</v>
      </c>
      <c r="AA3" s="31" t="s">
        <v>151</v>
      </c>
      <c r="AB3" s="31">
        <v>2</v>
      </c>
      <c r="AC3" s="31">
        <v>3</v>
      </c>
      <c r="AD3" s="31">
        <v>2</v>
      </c>
      <c r="AE3" s="31">
        <v>3</v>
      </c>
      <c r="AF3" s="31" t="s">
        <v>144</v>
      </c>
      <c r="AG3" s="31" t="s">
        <v>160</v>
      </c>
      <c r="AH3" t="s">
        <v>12</v>
      </c>
      <c r="AI3" t="s">
        <v>121</v>
      </c>
      <c r="AJ3" t="s">
        <v>171</v>
      </c>
      <c r="AK3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opLeftCell="I1" workbookViewId="0">
      <selection activeCell="K34" sqref="K34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5</v>
      </c>
      <c r="B1" s="7" t="s">
        <v>9</v>
      </c>
      <c r="C1" s="7" t="s">
        <v>8</v>
      </c>
      <c r="D1" s="8" t="s">
        <v>44</v>
      </c>
      <c r="E1" s="8" t="s">
        <v>10</v>
      </c>
      <c r="F1" s="8" t="s">
        <v>11</v>
      </c>
      <c r="G1" s="7" t="s">
        <v>45</v>
      </c>
      <c r="H1" s="9" t="s">
        <v>42</v>
      </c>
      <c r="I1" s="15" t="s">
        <v>67</v>
      </c>
      <c r="J1" s="15" t="s">
        <v>68</v>
      </c>
      <c r="K1" s="14" t="s">
        <v>62</v>
      </c>
      <c r="L1" s="14" t="s">
        <v>63</v>
      </c>
      <c r="M1" s="14" t="s">
        <v>64</v>
      </c>
      <c r="N1" s="14" t="s">
        <v>65</v>
      </c>
      <c r="O1" s="14" t="s">
        <v>66</v>
      </c>
      <c r="P1" s="9" t="s">
        <v>40</v>
      </c>
      <c r="Q1" s="7" t="s">
        <v>154</v>
      </c>
      <c r="R1" s="11" t="s">
        <v>74</v>
      </c>
    </row>
    <row r="2" spans="1:18" s="2" customFormat="1" x14ac:dyDescent="0.25">
      <c r="A2" t="s">
        <v>51</v>
      </c>
      <c r="B2" t="s">
        <v>53</v>
      </c>
      <c r="C2" t="s">
        <v>153</v>
      </c>
      <c r="D2" s="6">
        <v>365</v>
      </c>
      <c r="E2" s="6">
        <v>20</v>
      </c>
      <c r="F2" s="6">
        <v>0.02</v>
      </c>
      <c r="G2" s="4" t="s">
        <v>46</v>
      </c>
      <c r="H2">
        <v>1</v>
      </c>
      <c r="I2" s="16">
        <v>4</v>
      </c>
      <c r="J2" s="16">
        <v>20</v>
      </c>
      <c r="K2" s="12">
        <v>0</v>
      </c>
      <c r="L2" s="12">
        <v>1E-4</v>
      </c>
      <c r="M2" s="12">
        <v>5</v>
      </c>
      <c r="N2" s="12">
        <v>9</v>
      </c>
      <c r="O2" s="12" t="s">
        <v>178</v>
      </c>
      <c r="P2" t="s">
        <v>57</v>
      </c>
      <c r="Q2" t="s">
        <v>156</v>
      </c>
      <c r="R2" s="2" t="s">
        <v>161</v>
      </c>
    </row>
    <row r="3" spans="1:18" s="2" customFormat="1" x14ac:dyDescent="0.25">
      <c r="A3" t="s">
        <v>51</v>
      </c>
      <c r="B3" t="s">
        <v>79</v>
      </c>
      <c r="C3" t="s">
        <v>153</v>
      </c>
      <c r="D3" s="6">
        <v>365</v>
      </c>
      <c r="E3" s="6">
        <v>20</v>
      </c>
      <c r="F3" s="6">
        <v>0.02</v>
      </c>
      <c r="G3" s="4" t="s">
        <v>46</v>
      </c>
      <c r="H3">
        <v>1</v>
      </c>
      <c r="I3" s="16">
        <v>5</v>
      </c>
      <c r="J3" s="16">
        <v>25</v>
      </c>
      <c r="K3" s="12">
        <v>0</v>
      </c>
      <c r="L3" s="12">
        <v>1E-4</v>
      </c>
      <c r="M3" s="12">
        <v>3</v>
      </c>
      <c r="N3" s="12">
        <v>7</v>
      </c>
      <c r="O3" s="12" t="s">
        <v>178</v>
      </c>
      <c r="P3" t="s">
        <v>80</v>
      </c>
      <c r="Q3" t="s">
        <v>157</v>
      </c>
      <c r="R3" s="2" t="s">
        <v>161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E5B7-AF2E-4D63-8F87-A320DDB615D0}">
  <dimension ref="A1:N2"/>
  <sheetViews>
    <sheetView tabSelected="1" workbookViewId="0">
      <selection activeCell="L20" sqref="L20"/>
    </sheetView>
  </sheetViews>
  <sheetFormatPr defaultRowHeight="15" x14ac:dyDescent="0.25"/>
  <cols>
    <col min="1" max="1" width="11.42578125" bestFit="1" customWidth="1"/>
    <col min="2" max="2" width="11.28515625" bestFit="1" customWidth="1"/>
    <col min="3" max="3" width="7.85546875" bestFit="1" customWidth="1"/>
    <col min="4" max="4" width="13.28515625" bestFit="1" customWidth="1"/>
    <col min="5" max="14" width="13.42578125" customWidth="1"/>
  </cols>
  <sheetData>
    <row r="1" spans="1:14" ht="45" x14ac:dyDescent="0.25">
      <c r="A1" s="7" t="s">
        <v>5</v>
      </c>
      <c r="B1" s="7" t="s">
        <v>8</v>
      </c>
      <c r="C1" s="7" t="s">
        <v>9</v>
      </c>
      <c r="D1" s="7" t="s">
        <v>170</v>
      </c>
      <c r="E1" s="34" t="s">
        <v>108</v>
      </c>
      <c r="F1" s="34" t="s">
        <v>109</v>
      </c>
      <c r="G1" s="34" t="s">
        <v>110</v>
      </c>
      <c r="H1" s="34" t="s">
        <v>111</v>
      </c>
      <c r="I1" s="14" t="s">
        <v>172</v>
      </c>
      <c r="J1" s="14" t="s">
        <v>173</v>
      </c>
      <c r="K1" s="14" t="s">
        <v>174</v>
      </c>
      <c r="L1" s="36" t="s">
        <v>116</v>
      </c>
      <c r="M1" s="36" t="s">
        <v>117</v>
      </c>
      <c r="N1" s="36" t="s">
        <v>118</v>
      </c>
    </row>
    <row r="2" spans="1:14" x14ac:dyDescent="0.25">
      <c r="A2" t="s">
        <v>51</v>
      </c>
      <c r="B2" t="s">
        <v>166</v>
      </c>
      <c r="C2" t="s">
        <v>165</v>
      </c>
      <c r="D2">
        <v>2000</v>
      </c>
      <c r="E2" s="35">
        <v>0.75</v>
      </c>
      <c r="F2" s="35">
        <v>1</v>
      </c>
      <c r="G2" s="35">
        <v>2</v>
      </c>
      <c r="H2" s="35">
        <v>0.9</v>
      </c>
      <c r="I2" s="12">
        <v>0.25</v>
      </c>
      <c r="J2" s="12">
        <v>2</v>
      </c>
      <c r="K2" s="12">
        <v>4</v>
      </c>
      <c r="L2" s="19">
        <v>10</v>
      </c>
      <c r="M2" s="19">
        <v>20</v>
      </c>
      <c r="N2" s="19">
        <v>0.98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Y3"/>
  <sheetViews>
    <sheetView workbookViewId="0">
      <selection activeCell="U32" sqref="U32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6.855468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3" width="6.28515625" bestFit="1" customWidth="1"/>
    <col min="14" max="14" width="8" bestFit="1" customWidth="1"/>
    <col min="15" max="16" width="7.28515625" bestFit="1" customWidth="1"/>
    <col min="17" max="17" width="8" bestFit="1" customWidth="1"/>
    <col min="18" max="23" width="13" customWidth="1"/>
    <col min="24" max="24" width="63.7109375" bestFit="1" customWidth="1"/>
    <col min="25" max="25" width="14" bestFit="1" customWidth="1"/>
  </cols>
  <sheetData>
    <row r="1" spans="1:25" s="2" customFormat="1" ht="105" x14ac:dyDescent="0.25">
      <c r="A1" s="7" t="s">
        <v>5</v>
      </c>
      <c r="B1" s="7" t="s">
        <v>8</v>
      </c>
      <c r="C1" s="7" t="s">
        <v>9</v>
      </c>
      <c r="D1" s="7" t="s">
        <v>45</v>
      </c>
      <c r="E1" s="7" t="s">
        <v>105</v>
      </c>
      <c r="F1" s="22" t="s">
        <v>106</v>
      </c>
      <c r="G1" s="23" t="s">
        <v>10</v>
      </c>
      <c r="H1" s="8" t="s">
        <v>44</v>
      </c>
      <c r="I1" s="8" t="s">
        <v>11</v>
      </c>
      <c r="J1" s="24" t="s">
        <v>85</v>
      </c>
      <c r="K1" s="24" t="s">
        <v>86</v>
      </c>
      <c r="L1" s="25" t="s">
        <v>87</v>
      </c>
      <c r="M1" s="25" t="s">
        <v>88</v>
      </c>
      <c r="N1" s="25" t="s">
        <v>89</v>
      </c>
      <c r="O1" s="26" t="s">
        <v>90</v>
      </c>
      <c r="P1" s="26" t="s">
        <v>91</v>
      </c>
      <c r="Q1" s="26" t="s">
        <v>92</v>
      </c>
      <c r="R1" s="27" t="s">
        <v>93</v>
      </c>
      <c r="S1" s="27" t="s">
        <v>94</v>
      </c>
      <c r="T1" s="27" t="s">
        <v>95</v>
      </c>
      <c r="U1" s="27" t="s">
        <v>96</v>
      </c>
      <c r="V1" s="27" t="s">
        <v>97</v>
      </c>
      <c r="W1" s="27" t="s">
        <v>98</v>
      </c>
      <c r="X1" s="7" t="s">
        <v>154</v>
      </c>
      <c r="Y1" s="7" t="s">
        <v>74</v>
      </c>
    </row>
    <row r="2" spans="1:25" x14ac:dyDescent="0.25">
      <c r="A2" t="s">
        <v>51</v>
      </c>
      <c r="B2" t="s">
        <v>99</v>
      </c>
      <c r="C2" s="28" t="s">
        <v>100</v>
      </c>
      <c r="D2" s="4" t="s">
        <v>101</v>
      </c>
      <c r="E2" t="s">
        <v>102</v>
      </c>
      <c r="F2" t="s">
        <v>41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s="29">
        <v>0</v>
      </c>
      <c r="M2" s="29">
        <v>365</v>
      </c>
      <c r="N2" s="29">
        <v>0.34166999999999997</v>
      </c>
      <c r="O2" s="30">
        <v>0</v>
      </c>
      <c r="P2" s="30">
        <v>365</v>
      </c>
      <c r="Q2" s="30">
        <v>0.14960999999999999</v>
      </c>
      <c r="R2" s="31">
        <v>1</v>
      </c>
      <c r="S2" s="31">
        <v>2</v>
      </c>
      <c r="T2" s="31">
        <v>1E-3</v>
      </c>
      <c r="U2" s="32">
        <v>3000</v>
      </c>
      <c r="V2" s="32">
        <v>10000</v>
      </c>
      <c r="W2" s="32">
        <v>5000</v>
      </c>
      <c r="X2" t="s">
        <v>158</v>
      </c>
      <c r="Y2" t="s">
        <v>162</v>
      </c>
    </row>
    <row r="3" spans="1:25" x14ac:dyDescent="0.25">
      <c r="A3" t="s">
        <v>51</v>
      </c>
      <c r="B3" t="s">
        <v>99</v>
      </c>
      <c r="C3" s="28" t="s">
        <v>103</v>
      </c>
      <c r="D3" s="4" t="s">
        <v>101</v>
      </c>
      <c r="E3" t="s">
        <v>104</v>
      </c>
      <c r="F3" t="s">
        <v>33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s="29">
        <v>0</v>
      </c>
      <c r="M3" s="29">
        <v>365</v>
      </c>
      <c r="N3" s="29">
        <v>0.34166999999999997</v>
      </c>
      <c r="O3" s="30">
        <v>0</v>
      </c>
      <c r="P3" s="30">
        <v>365</v>
      </c>
      <c r="Q3" s="30">
        <v>0.14960999999999999</v>
      </c>
      <c r="R3" s="31">
        <v>1</v>
      </c>
      <c r="S3" s="31">
        <v>2</v>
      </c>
      <c r="T3" s="31">
        <v>1E-3</v>
      </c>
      <c r="U3" s="32">
        <v>3000</v>
      </c>
      <c r="V3" s="32">
        <v>10000</v>
      </c>
      <c r="W3" s="32">
        <v>5000</v>
      </c>
      <c r="X3" t="s">
        <v>159</v>
      </c>
      <c r="Y3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workbookViewId="0">
      <selection activeCell="H13" sqref="H13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5</v>
      </c>
      <c r="B1" s="7" t="s">
        <v>9</v>
      </c>
      <c r="C1" s="8" t="s">
        <v>10</v>
      </c>
      <c r="D1" s="8" t="s">
        <v>44</v>
      </c>
      <c r="E1" s="8" t="s">
        <v>11</v>
      </c>
      <c r="F1" s="34" t="s">
        <v>108</v>
      </c>
      <c r="G1" s="34" t="s">
        <v>109</v>
      </c>
      <c r="H1" s="34" t="s">
        <v>110</v>
      </c>
      <c r="I1" s="34" t="s">
        <v>111</v>
      </c>
      <c r="J1" s="14" t="s">
        <v>112</v>
      </c>
      <c r="K1" s="14" t="s">
        <v>113</v>
      </c>
      <c r="L1" s="14" t="s">
        <v>114</v>
      </c>
      <c r="M1" s="14" t="s">
        <v>115</v>
      </c>
      <c r="N1" s="36" t="s">
        <v>116</v>
      </c>
      <c r="O1" s="36" t="s">
        <v>117</v>
      </c>
      <c r="P1" s="36" t="s">
        <v>118</v>
      </c>
      <c r="Q1" s="7" t="s">
        <v>8</v>
      </c>
      <c r="R1" s="7" t="s">
        <v>154</v>
      </c>
      <c r="S1" s="11" t="s">
        <v>74</v>
      </c>
    </row>
    <row r="2" spans="1:19" x14ac:dyDescent="0.25">
      <c r="A2" t="s">
        <v>51</v>
      </c>
      <c r="B2" t="s">
        <v>119</v>
      </c>
      <c r="C2" s="6">
        <v>0</v>
      </c>
      <c r="D2" s="6">
        <v>365</v>
      </c>
      <c r="E2" s="6">
        <v>1E-4</v>
      </c>
      <c r="F2" s="35">
        <v>0.75</v>
      </c>
      <c r="G2" s="35">
        <v>1</v>
      </c>
      <c r="H2" s="35">
        <v>1</v>
      </c>
      <c r="I2" s="35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120</v>
      </c>
      <c r="R2" t="s">
        <v>159</v>
      </c>
      <c r="S2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5</v>
      </c>
      <c r="B1" s="11" t="s">
        <v>9</v>
      </c>
      <c r="C1" s="11" t="s">
        <v>8</v>
      </c>
    </row>
    <row r="2" spans="1:3" x14ac:dyDescent="0.25">
      <c r="A2" t="s">
        <v>51</v>
      </c>
      <c r="B2" t="s">
        <v>76</v>
      </c>
      <c r="C2" t="s">
        <v>55</v>
      </c>
    </row>
    <row r="3" spans="1:3" x14ac:dyDescent="0.25">
      <c r="A3" t="s">
        <v>51</v>
      </c>
      <c r="B3" t="s">
        <v>77</v>
      </c>
      <c r="C3" t="s">
        <v>55</v>
      </c>
    </row>
    <row r="4" spans="1:3" x14ac:dyDescent="0.25">
      <c r="A4" t="s">
        <v>51</v>
      </c>
      <c r="B4" t="s">
        <v>78</v>
      </c>
      <c r="C4" t="s">
        <v>55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G26" sqref="G26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8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t="s">
        <v>34</v>
      </c>
      <c r="B2" t="s">
        <v>51</v>
      </c>
      <c r="C2" t="s">
        <v>54</v>
      </c>
      <c r="D2" t="s">
        <v>51</v>
      </c>
      <c r="E2" t="s">
        <v>53</v>
      </c>
      <c r="F2" t="s">
        <v>33</v>
      </c>
    </row>
    <row r="3" spans="1:7" x14ac:dyDescent="0.25">
      <c r="A3" t="s">
        <v>34</v>
      </c>
      <c r="B3" t="s">
        <v>51</v>
      </c>
      <c r="C3" t="s">
        <v>54</v>
      </c>
      <c r="D3" t="s">
        <v>51</v>
      </c>
      <c r="E3" t="s">
        <v>53</v>
      </c>
      <c r="F3" t="s">
        <v>41</v>
      </c>
    </row>
    <row r="4" spans="1:7" x14ac:dyDescent="0.25">
      <c r="A4" t="s">
        <v>34</v>
      </c>
      <c r="B4" t="s">
        <v>51</v>
      </c>
      <c r="C4" t="s">
        <v>122</v>
      </c>
      <c r="D4" t="s">
        <v>51</v>
      </c>
      <c r="E4" t="s">
        <v>53</v>
      </c>
      <c r="F4" t="s">
        <v>33</v>
      </c>
    </row>
    <row r="5" spans="1:7" x14ac:dyDescent="0.25">
      <c r="A5" t="s">
        <v>34</v>
      </c>
      <c r="B5" t="s">
        <v>51</v>
      </c>
      <c r="C5" t="s">
        <v>122</v>
      </c>
      <c r="D5" t="s">
        <v>51</v>
      </c>
      <c r="E5" t="s">
        <v>53</v>
      </c>
      <c r="F5" t="s">
        <v>41</v>
      </c>
    </row>
    <row r="7" spans="1:7" x14ac:dyDescent="0.25">
      <c r="A7" s="21" t="s">
        <v>34</v>
      </c>
      <c r="B7" s="21" t="s">
        <v>51</v>
      </c>
      <c r="C7" s="21" t="s">
        <v>53</v>
      </c>
      <c r="D7" s="21" t="s">
        <v>51</v>
      </c>
      <c r="E7" s="21" t="s">
        <v>165</v>
      </c>
      <c r="F7" s="21" t="s">
        <v>33</v>
      </c>
      <c r="G7" s="21" t="s">
        <v>81</v>
      </c>
    </row>
    <row r="8" spans="1:7" x14ac:dyDescent="0.25">
      <c r="A8" s="21" t="s">
        <v>34</v>
      </c>
      <c r="B8" s="21" t="s">
        <v>51</v>
      </c>
      <c r="C8" s="21" t="s">
        <v>53</v>
      </c>
      <c r="D8" s="21" t="s">
        <v>51</v>
      </c>
      <c r="E8" s="21" t="s">
        <v>165</v>
      </c>
      <c r="F8" s="21" t="s">
        <v>41</v>
      </c>
      <c r="G8" s="21" t="s">
        <v>82</v>
      </c>
    </row>
    <row r="9" spans="1:7" x14ac:dyDescent="0.25">
      <c r="A9" s="21" t="s">
        <v>34</v>
      </c>
      <c r="B9" s="21" t="s">
        <v>51</v>
      </c>
      <c r="C9" s="21" t="s">
        <v>53</v>
      </c>
      <c r="D9" s="21" t="s">
        <v>51</v>
      </c>
      <c r="E9" s="21" t="s">
        <v>165</v>
      </c>
      <c r="F9" s="21" t="s">
        <v>56</v>
      </c>
      <c r="G9" s="21" t="s">
        <v>83</v>
      </c>
    </row>
    <row r="10" spans="1:7" x14ac:dyDescent="0.25">
      <c r="A10" s="21" t="s">
        <v>34</v>
      </c>
      <c r="B10" s="21" t="s">
        <v>51</v>
      </c>
      <c r="C10" s="21" t="s">
        <v>53</v>
      </c>
      <c r="D10" s="21" t="s">
        <v>51</v>
      </c>
      <c r="E10" s="21" t="s">
        <v>165</v>
      </c>
      <c r="F10" s="21" t="s">
        <v>56</v>
      </c>
      <c r="G10" s="21" t="s">
        <v>84</v>
      </c>
    </row>
    <row r="11" spans="1:7" x14ac:dyDescent="0.25">
      <c r="A11" s="21" t="s">
        <v>34</v>
      </c>
      <c r="B11" s="21" t="s">
        <v>51</v>
      </c>
      <c r="C11" s="21" t="s">
        <v>53</v>
      </c>
      <c r="D11" s="21" t="s">
        <v>51</v>
      </c>
      <c r="E11" s="21" t="s">
        <v>165</v>
      </c>
      <c r="F11" s="21" t="s">
        <v>56</v>
      </c>
      <c r="G11" s="21" t="s">
        <v>168</v>
      </c>
    </row>
    <row r="12" spans="1:7" x14ac:dyDescent="0.25">
      <c r="A12" s="21" t="s">
        <v>34</v>
      </c>
      <c r="B12" s="21" t="s">
        <v>51</v>
      </c>
      <c r="C12" s="21" t="s">
        <v>53</v>
      </c>
      <c r="D12" s="21" t="s">
        <v>51</v>
      </c>
      <c r="E12" s="21" t="s">
        <v>165</v>
      </c>
      <c r="F12" s="21" t="s">
        <v>56</v>
      </c>
      <c r="G12" s="21" t="s">
        <v>175</v>
      </c>
    </row>
    <row r="13" spans="1:7" x14ac:dyDescent="0.25">
      <c r="A13" s="21"/>
      <c r="B13" s="21"/>
      <c r="C13" s="21"/>
      <c r="D13" s="21"/>
      <c r="E13" s="21"/>
      <c r="F13" s="21"/>
      <c r="G13" s="21"/>
    </row>
    <row r="14" spans="1:7" x14ac:dyDescent="0.25">
      <c r="A14" s="21" t="s">
        <v>34</v>
      </c>
      <c r="B14" s="21" t="s">
        <v>51</v>
      </c>
      <c r="C14" s="21" t="s">
        <v>165</v>
      </c>
      <c r="D14" s="21" t="s">
        <v>51</v>
      </c>
      <c r="E14" s="21" t="s">
        <v>79</v>
      </c>
      <c r="F14" s="21" t="s">
        <v>33</v>
      </c>
      <c r="G14" s="21" t="s">
        <v>81</v>
      </c>
    </row>
    <row r="15" spans="1:7" x14ac:dyDescent="0.25">
      <c r="A15" s="21" t="s">
        <v>34</v>
      </c>
      <c r="B15" s="21" t="s">
        <v>51</v>
      </c>
      <c r="C15" s="21" t="s">
        <v>165</v>
      </c>
      <c r="D15" s="21" t="s">
        <v>51</v>
      </c>
      <c r="E15" s="21" t="s">
        <v>79</v>
      </c>
      <c r="F15" s="21" t="s">
        <v>41</v>
      </c>
      <c r="G15" s="21" t="s">
        <v>82</v>
      </c>
    </row>
    <row r="16" spans="1:7" x14ac:dyDescent="0.25">
      <c r="A16" s="21" t="s">
        <v>34</v>
      </c>
      <c r="B16" s="21" t="s">
        <v>51</v>
      </c>
      <c r="C16" s="21" t="s">
        <v>165</v>
      </c>
      <c r="D16" s="21" t="s">
        <v>51</v>
      </c>
      <c r="E16" s="21" t="s">
        <v>79</v>
      </c>
      <c r="F16" s="21" t="s">
        <v>56</v>
      </c>
      <c r="G16" s="21" t="s">
        <v>83</v>
      </c>
    </row>
    <row r="17" spans="1:7" x14ac:dyDescent="0.25">
      <c r="A17" s="21" t="s">
        <v>34</v>
      </c>
      <c r="B17" s="21" t="s">
        <v>51</v>
      </c>
      <c r="C17" s="21" t="s">
        <v>165</v>
      </c>
      <c r="D17" s="21" t="s">
        <v>51</v>
      </c>
      <c r="E17" s="21" t="s">
        <v>79</v>
      </c>
      <c r="F17" s="21" t="s">
        <v>56</v>
      </c>
      <c r="G17" s="21" t="s">
        <v>84</v>
      </c>
    </row>
    <row r="18" spans="1:7" x14ac:dyDescent="0.25">
      <c r="A18" s="21"/>
      <c r="B18" s="21"/>
      <c r="C18" s="21"/>
      <c r="D18" s="21"/>
      <c r="E18" s="21"/>
      <c r="F18" s="21"/>
      <c r="G18" s="21"/>
    </row>
    <row r="19" spans="1:7" x14ac:dyDescent="0.25">
      <c r="A19" s="21"/>
      <c r="B19" s="21"/>
      <c r="C19" s="21"/>
      <c r="D19" s="21"/>
      <c r="E19" s="21"/>
      <c r="F19" s="21"/>
      <c r="G19" s="21"/>
    </row>
    <row r="20" spans="1:7" x14ac:dyDescent="0.25">
      <c r="A20" s="21"/>
      <c r="B20" s="21"/>
      <c r="C20" s="21"/>
      <c r="D20" s="21"/>
      <c r="E20" s="21"/>
      <c r="F20" s="21"/>
      <c r="G20" s="21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36</v>
      </c>
      <c r="C1" t="s">
        <v>37</v>
      </c>
    </row>
    <row r="2" spans="1:3" x14ac:dyDescent="0.25">
      <c r="A2" t="s">
        <v>38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38</v>
      </c>
      <c r="B3" t="str">
        <f t="shared" si="0"/>
        <v>FFDump600</v>
      </c>
      <c r="C3">
        <v>600</v>
      </c>
    </row>
    <row r="4" spans="1:3" x14ac:dyDescent="0.25">
      <c r="A4" t="s">
        <v>38</v>
      </c>
      <c r="B4" t="str">
        <f t="shared" si="0"/>
        <v>FFDump601</v>
      </c>
      <c r="C4">
        <v>601</v>
      </c>
    </row>
    <row r="5" spans="1:3" x14ac:dyDescent="0.25">
      <c r="A5" t="s">
        <v>38</v>
      </c>
      <c r="B5" t="str">
        <f t="shared" si="0"/>
        <v>FFDump590</v>
      </c>
      <c r="C5">
        <v>590</v>
      </c>
    </row>
    <row r="6" spans="1:3" x14ac:dyDescent="0.25">
      <c r="A6" t="s">
        <v>38</v>
      </c>
      <c r="B6" t="str">
        <f t="shared" si="0"/>
        <v>FFDump18065</v>
      </c>
      <c r="C6">
        <v>18065</v>
      </c>
    </row>
    <row r="7" spans="1:3" x14ac:dyDescent="0.25">
      <c r="A7" t="s">
        <v>38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I22" sqref="I22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152</v>
      </c>
      <c r="B3" t="s">
        <v>152</v>
      </c>
    </row>
    <row r="4" spans="1:2" x14ac:dyDescent="0.25">
      <c r="A4" t="s">
        <v>35</v>
      </c>
      <c r="B4" t="s">
        <v>35</v>
      </c>
    </row>
    <row r="5" spans="1:2" x14ac:dyDescent="0.25">
      <c r="A5" t="s">
        <v>167</v>
      </c>
      <c r="B5" t="s">
        <v>167</v>
      </c>
    </row>
    <row r="6" spans="1:2" x14ac:dyDescent="0.25">
      <c r="A6" t="s">
        <v>48</v>
      </c>
      <c r="B6" t="s">
        <v>48</v>
      </c>
    </row>
    <row r="7" spans="1:2" x14ac:dyDescent="0.25">
      <c r="A7" t="s">
        <v>26</v>
      </c>
      <c r="B7" t="s">
        <v>26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43</v>
      </c>
      <c r="B4" t="s">
        <v>43</v>
      </c>
    </row>
    <row r="5" spans="1:2" x14ac:dyDescent="0.25">
      <c r="A5" t="s">
        <v>35</v>
      </c>
      <c r="B5" t="s">
        <v>35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49</v>
      </c>
      <c r="B10" t="s">
        <v>49</v>
      </c>
    </row>
    <row r="11" spans="1:2" x14ac:dyDescent="0.25">
      <c r="A11" t="s">
        <v>50</v>
      </c>
      <c r="B11" t="s">
        <v>50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48</v>
      </c>
      <c r="B13" t="s">
        <v>48</v>
      </c>
    </row>
    <row r="14" spans="1:2" x14ac:dyDescent="0.25">
      <c r="A14" t="s">
        <v>26</v>
      </c>
      <c r="B1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Heaters</vt:lpstr>
      <vt:lpstr>TankBattery</vt:lpstr>
      <vt:lpstr>Flares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2025-04-10T22:18:26Z</dcterms:modified>
</cp:coreProperties>
</file>