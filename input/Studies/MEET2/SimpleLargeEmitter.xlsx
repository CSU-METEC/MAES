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\input\Studies\MEET2\"/>
    </mc:Choice>
  </mc:AlternateContent>
  <xr:revisionPtr revIDLastSave="0" documentId="13_ncr:1_{92972D69-EC75-4BFB-BDE6-59B0743CE3A8}" xr6:coauthVersionLast="47" xr6:coauthVersionMax="47" xr10:uidLastSave="{00000000-0000-0000-0000-000000000000}"/>
  <bookViews>
    <workbookView xWindow="-120" yWindow="-120" windowWidth="29040" windowHeight="15720" tabRatio="760" xr2:uid="{00000000-000D-0000-FFFF-FFFF00000000}"/>
  </bookViews>
  <sheets>
    <sheet name="Global Simulation Parameters" sheetId="1" r:id="rId1"/>
    <sheet name="Facilities" sheetId="2" r:id="rId2"/>
    <sheet name="ContinuousWells" sheetId="3" r:id="rId3"/>
    <sheet name="CyclingWells" sheetId="24" r:id="rId4"/>
    <sheet name="Separators" sheetId="5" r:id="rId5"/>
    <sheet name="Tank Battery" sheetId="20" r:id="rId6"/>
    <sheet name="FFLinks" sheetId="23" r:id="rId7"/>
    <sheet name="Debug" sheetId="17" r:id="rId8"/>
    <sheet name="Master Equipment" sheetId="14" r:id="rId9"/>
    <sheet name="MAll" sheetId="1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7" l="1"/>
  <c r="B6" i="17"/>
  <c r="B5" i="17"/>
  <c r="B4" i="17" l="1"/>
  <c r="B3" i="17"/>
  <c r="B2" i="17" l="1"/>
</calcChain>
</file>

<file path=xl/sharedStrings.xml><?xml version="1.0" encoding="utf-8"?>
<sst xmlns="http://schemas.openxmlformats.org/spreadsheetml/2006/main" count="323" uniqueCount="125">
  <si>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</si>
  <si>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</si>
  <si>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</si>
  <si>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</si>
  <si>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</si>
  <si>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</si>
  <si>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</si>
  <si>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</si>
  <si>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</si>
  <si>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</si>
  <si>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</si>
  <si>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</si>
  <si>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</si>
  <si>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</si>
  <si>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</si>
  <si>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</si>
  <si>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</si>
  <si>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</si>
  <si>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</si>
  <si>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</si>
  <si>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</si>
  <si>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</si>
  <si>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Note</t>
  </si>
  <si>
    <t>output/Site_1/MC_{scenarioTimestamp}</t>
  </si>
  <si>
    <t>E:/OGCI Runs/Site1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</si>
  <si>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</si>
  <si>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</si>
  <si>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</si>
  <si>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</si>
  <si>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</si>
  <si>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</si>
  <si>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</si>
  <si>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</si>
  <si>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</si>
  <si>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</si>
  <si>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</si>
  <si>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</si>
  <si>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</si>
  <si>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</si>
  <si>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</si>
  <si>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</si>
  <si>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</si>
  <si>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</si>
  <si>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</si>
  <si>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</si>
  <si>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</si>
  <si>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Flow Gas Composition</t>
  </si>
  <si>
    <t>FFLinks</t>
  </si>
  <si>
    <t>VRUs</t>
  </si>
  <si>
    <t>Flares</t>
  </si>
  <si>
    <t>facility_test</t>
  </si>
  <si>
    <t>output/Site_1/MC_Last_{scenarioTimestamp}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</si>
  <si>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</si>
  <si>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</si>
  <si>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</si>
  <si>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</si>
  <si>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</si>
  <si>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</si>
  <si>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TBC</t>
  </si>
  <si>
    <t>Condensate Tank</t>
  </si>
  <si>
    <t>Gas</t>
  </si>
  <si>
    <t>Oil Production [bbl/day]</t>
  </si>
  <si>
    <t>Water Production [bbl/day]</t>
  </si>
  <si>
    <t>Di per month</t>
  </si>
  <si>
    <t>b Hyperbolic</t>
  </si>
  <si>
    <t>Age months</t>
  </si>
  <si>
    <t>W5</t>
  </si>
  <si>
    <t>Well.json</t>
  </si>
  <si>
    <t>Activity / Emission Factor Name</t>
  </si>
  <si>
    <t>Factor Tag</t>
  </si>
  <si>
    <t>Stage1</t>
  </si>
  <si>
    <t>primary_water</t>
  </si>
  <si>
    <t>Stuck Dump Valve Failure Duration Max [days]</t>
  </si>
  <si>
    <t>Stuck Dump Valve Failure Duration Min [days]</t>
  </si>
  <si>
    <t>Stuck Dump Valve Component Count</t>
  </si>
  <si>
    <t>Vapor</t>
  </si>
  <si>
    <t>Fraction of Flash Released</t>
  </si>
  <si>
    <t>stuck_dump_valve_vapor</t>
  </si>
  <si>
    <t>Air</t>
  </si>
  <si>
    <t>Water Tank</t>
  </si>
  <si>
    <t>Number of Thief Hatches</t>
  </si>
  <si>
    <t>Number of Vents</t>
  </si>
  <si>
    <t>TBW</t>
  </si>
  <si>
    <t>condensate_flash</t>
  </si>
  <si>
    <t>water_flash</t>
  </si>
  <si>
    <t>condensate_flow</t>
  </si>
  <si>
    <t>TankBattery.json</t>
  </si>
  <si>
    <t>Overpressure Vents Large Emitter MTTR min [days]</t>
  </si>
  <si>
    <t>Overpressure Vents Large Emitter MTTR max [days]</t>
  </si>
  <si>
    <t>Overpressure Vents Large Emitter pLeak</t>
  </si>
  <si>
    <t>Max Primary Outlet Flow [scfh]</t>
  </si>
  <si>
    <t>Inlet Flow At Max Primary Flow [scfh]</t>
  </si>
  <si>
    <t>CycledWell.json</t>
  </si>
  <si>
    <t>Total Liquids Produced [bbl/dump]</t>
  </si>
  <si>
    <t>Mean Production Time [s]</t>
  </si>
  <si>
    <t>Production Time Variation [s]</t>
  </si>
  <si>
    <t>Shut In Time Variation [percent]</t>
  </si>
  <si>
    <t>W1</t>
  </si>
  <si>
    <t>Overpressure Vents Large Emitter Threshold [scfh]</t>
  </si>
  <si>
    <t>ContinuousWells</t>
  </si>
  <si>
    <t>Stuck Dump Valve pLeak</t>
  </si>
  <si>
    <t>input/Studies/MEET2/TestGCFile1.csv</t>
  </si>
  <si>
    <t>input/Studies/MEET2/Factors.csv</t>
  </si>
  <si>
    <t>Battery Type [Condensate Tank, Water Tank]</t>
  </si>
  <si>
    <t>Fluid [Water, Condensate]</t>
  </si>
  <si>
    <t>Default-LeakGc</t>
  </si>
  <si>
    <t>S2</t>
  </si>
  <si>
    <t>S1</t>
  </si>
  <si>
    <t>Stage2</t>
  </si>
  <si>
    <t>W6</t>
  </si>
  <si>
    <t>W7</t>
  </si>
  <si>
    <t>ContinuousSeparator.json</t>
  </si>
  <si>
    <t>output/SimpleLargeEmitter/MC_Last</t>
  </si>
  <si>
    <t>wellpad</t>
  </si>
  <si>
    <t>Leak GC Name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</si>
  <si>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</si>
  <si>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</si>
  <si>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</si>
  <si>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</si>
  <si>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Leak Gas Composition</t>
  </si>
  <si>
    <t>wellpad_sep</t>
  </si>
  <si>
    <t>wellpad_tanks</t>
  </si>
  <si>
    <t>Facility Type</t>
  </si>
  <si>
    <t>Common</t>
  </si>
  <si>
    <t>Production\FlashFractions\FlashFractionsTest.csv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</si>
</sst>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0" fillId="8" borderId="0" xfId="0" applyFill="1"/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9" borderId="0" xfId="0" applyFill="1"/>
    <xf numFmtId="0" fontId="1" fillId="8" borderId="1" xfId="0" applyFont="1" applyFill="1" applyBorder="1" applyAlignment="1">
      <alignment horizontal="center" vertical="center" wrapText="1"/>
    </xf>
    <xf numFmtId="1" fontId="0" fillId="8" borderId="0" xfId="0" applyNumberFormat="1" applyFill="1"/>
    <xf numFmtId="0" fontId="0" fillId="10" borderId="0" xfId="0" applyFill="1"/>
    <xf numFmtId="0" fontId="2" fillId="7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tabSelected="1" workbookViewId="0">
      <selection activeCell="B22" sqref="B22"/>
    </sheetView>
  </sheetViews>
  <sheetFormatPr defaultRowHeight="15" x14ac:dyDescent="0.25"/>
  <cols>
    <col min="1" max="1" width="33.140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100</v>
      </c>
    </row>
    <row r="3" spans="1:2" x14ac:dyDescent="0.25">
      <c r="A3" t="s">
        <v>3</v>
      </c>
      <c r="B3">
        <v>2</v>
      </c>
    </row>
    <row r="4" spans="1:2" x14ac:dyDescent="0.25">
      <c r="A4" t="s">
        <v>4</v>
      </c>
      <c r="B4" t="s">
        <v>112</v>
      </c>
    </row>
    <row r="5" spans="1:2" x14ac:dyDescent="0.25">
      <c r="A5" t="s">
        <v>22</v>
      </c>
      <c r="B5" t="s">
        <v>51</v>
      </c>
    </row>
    <row r="6" spans="1:2" x14ac:dyDescent="0.25">
      <c r="A6" t="s">
        <v>22</v>
      </c>
      <c r="B6" t="s">
        <v>23</v>
      </c>
    </row>
    <row r="7" spans="1:2" x14ac:dyDescent="0.25">
      <c r="A7" t="s">
        <v>22</v>
      </c>
      <c r="B7" t="s">
        <v>24</v>
      </c>
    </row>
    <row r="8" spans="1:2" x14ac:dyDescent="0.25">
      <c r="A8" t="s">
        <v>68</v>
      </c>
      <c r="B8" t="s">
        <v>102</v>
      </c>
    </row>
    <row r="9" spans="1:2" x14ac:dyDescent="0.25">
      <c r="A9" t="s">
        <v>122</v>
      </c>
      <c r="B9" t="s">
        <v>123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1" sqref="D1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119</v>
      </c>
      <c r="E1" s="3" t="s">
        <v>8</v>
      </c>
    </row>
    <row r="2" spans="1:5" x14ac:dyDescent="0.25">
      <c r="A2" t="s">
        <v>50</v>
      </c>
      <c r="B2" s="5">
        <v>0</v>
      </c>
      <c r="C2" s="5">
        <v>0</v>
      </c>
      <c r="D2" t="s">
        <v>101</v>
      </c>
      <c r="E2" t="s">
        <v>25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"/>
  <sheetViews>
    <sheetView topLeftCell="B1" zoomScaleNormal="100" workbookViewId="0">
      <selection activeCell="H17" sqref="H17"/>
    </sheetView>
  </sheetViews>
  <sheetFormatPr defaultRowHeight="15" x14ac:dyDescent="0.25"/>
  <cols>
    <col min="1" max="1" width="11.42578125" bestFit="1" customWidth="1"/>
    <col min="2" max="2" width="13.85546875" bestFit="1" customWidth="1"/>
    <col min="3" max="3" width="7.140625" bestFit="1" customWidth="1"/>
    <col min="4" max="5" width="10.28515625" bestFit="1" customWidth="1"/>
    <col min="6" max="6" width="11.42578125" bestFit="1" customWidth="1"/>
    <col min="7" max="7" width="35.5703125" bestFit="1" customWidth="1"/>
    <col min="8" max="8" width="11.42578125" bestFit="1" customWidth="1"/>
    <col min="9" max="10" width="10.7109375" bestFit="1" customWidth="1"/>
    <col min="11" max="11" width="16.85546875" bestFit="1" customWidth="1"/>
    <col min="12" max="12" width="6.85546875" bestFit="1" customWidth="1"/>
    <col min="13" max="13" width="12.140625" bestFit="1" customWidth="1"/>
    <col min="14" max="14" width="11.5703125" bestFit="1" customWidth="1"/>
    <col min="15" max="15" width="8.7109375" bestFit="1" customWidth="1"/>
    <col min="16" max="16" width="19.85546875" bestFit="1" customWidth="1"/>
    <col min="17" max="17" width="59.42578125" bestFit="1" customWidth="1"/>
    <col min="18" max="18" width="10.28515625" bestFit="1" customWidth="1"/>
  </cols>
  <sheetData>
    <row r="1" spans="1:18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20" t="s">
        <v>44</v>
      </c>
      <c r="G1" s="20" t="s">
        <v>10</v>
      </c>
      <c r="H1" s="20" t="s">
        <v>11</v>
      </c>
      <c r="I1" s="21" t="s">
        <v>61</v>
      </c>
      <c r="J1" s="21" t="s">
        <v>62</v>
      </c>
      <c r="K1" s="7" t="s">
        <v>45</v>
      </c>
      <c r="L1" s="7" t="s">
        <v>63</v>
      </c>
      <c r="M1" s="7" t="s">
        <v>64</v>
      </c>
      <c r="N1" s="7" t="s">
        <v>65</v>
      </c>
      <c r="O1" s="7" t="s">
        <v>39</v>
      </c>
      <c r="P1" s="7" t="s">
        <v>114</v>
      </c>
      <c r="Q1" s="7" t="s">
        <v>46</v>
      </c>
      <c r="R1" s="7" t="s">
        <v>69</v>
      </c>
    </row>
    <row r="2" spans="1:18" x14ac:dyDescent="0.25">
      <c r="A2" t="s">
        <v>50</v>
      </c>
      <c r="B2" t="s">
        <v>67</v>
      </c>
      <c r="C2" t="s">
        <v>66</v>
      </c>
      <c r="D2">
        <v>6.2270000000808068E-4</v>
      </c>
      <c r="E2">
        <v>3.6642000000002284E-3</v>
      </c>
      <c r="F2" s="17">
        <v>365</v>
      </c>
      <c r="G2" s="17">
        <v>20</v>
      </c>
      <c r="H2" s="17">
        <v>0.02</v>
      </c>
      <c r="I2" s="22">
        <v>24</v>
      </c>
      <c r="J2" s="22">
        <v>24</v>
      </c>
      <c r="K2" t="s">
        <v>60</v>
      </c>
      <c r="L2">
        <v>0</v>
      </c>
      <c r="M2">
        <v>1E-4</v>
      </c>
      <c r="N2">
        <v>1</v>
      </c>
      <c r="O2" t="s">
        <v>12</v>
      </c>
      <c r="P2" t="s">
        <v>105</v>
      </c>
      <c r="Q2" t="s">
        <v>101</v>
      </c>
      <c r="R2" t="s">
        <v>113</v>
      </c>
    </row>
    <row r="3" spans="1:18" x14ac:dyDescent="0.25">
      <c r="A3" t="s">
        <v>50</v>
      </c>
      <c r="B3" t="s">
        <v>67</v>
      </c>
      <c r="C3" t="s">
        <v>109</v>
      </c>
      <c r="D3">
        <v>6.2270000000808068E-4</v>
      </c>
      <c r="E3">
        <v>3.6642000000002284E-3</v>
      </c>
      <c r="F3" s="17">
        <v>365</v>
      </c>
      <c r="G3" s="17">
        <v>20</v>
      </c>
      <c r="H3" s="17">
        <v>0.02</v>
      </c>
      <c r="I3" s="22">
        <v>24</v>
      </c>
      <c r="J3" s="22">
        <v>24</v>
      </c>
      <c r="K3" t="s">
        <v>60</v>
      </c>
      <c r="L3">
        <v>0</v>
      </c>
      <c r="M3">
        <v>1E-4</v>
      </c>
      <c r="N3">
        <v>1</v>
      </c>
      <c r="O3" t="s">
        <v>12</v>
      </c>
      <c r="P3" t="s">
        <v>105</v>
      </c>
      <c r="Q3" t="s">
        <v>101</v>
      </c>
      <c r="R3" t="s">
        <v>113</v>
      </c>
    </row>
    <row r="4" spans="1:18" x14ac:dyDescent="0.25">
      <c r="A4" t="s">
        <v>50</v>
      </c>
      <c r="B4" t="s">
        <v>67</v>
      </c>
      <c r="C4" t="s">
        <v>110</v>
      </c>
      <c r="D4">
        <v>6.2270000000808068E-4</v>
      </c>
      <c r="E4">
        <v>3.6642000000002284E-3</v>
      </c>
      <c r="F4" s="17">
        <v>365</v>
      </c>
      <c r="G4" s="17">
        <v>20</v>
      </c>
      <c r="H4" s="17">
        <v>0.02</v>
      </c>
      <c r="I4" s="22">
        <v>24</v>
      </c>
      <c r="J4" s="22">
        <v>24</v>
      </c>
      <c r="K4" t="s">
        <v>60</v>
      </c>
      <c r="L4">
        <v>0</v>
      </c>
      <c r="M4">
        <v>1E-4</v>
      </c>
      <c r="N4">
        <v>1</v>
      </c>
      <c r="O4" t="s">
        <v>12</v>
      </c>
      <c r="P4" t="s">
        <v>105</v>
      </c>
      <c r="Q4" t="s">
        <v>101</v>
      </c>
      <c r="R4" t="s">
        <v>113</v>
      </c>
    </row>
  </sheetData>
  <phoneticPr fontId="3" type="noConversion"/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3057-89A7-461C-ADEA-081913953ED4}">
  <dimension ref="A1:S2"/>
  <sheetViews>
    <sheetView workbookViewId="0">
      <selection activeCell="S3" sqref="S3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4.85546875" bestFit="1" customWidth="1"/>
    <col min="4" max="4" width="8.28515625" bestFit="1" customWidth="1"/>
    <col min="5" max="5" width="9.85546875" bestFit="1" customWidth="1"/>
    <col min="6" max="8" width="11.42578125" bestFit="1" customWidth="1"/>
    <col min="9" max="9" width="10.7109375" bestFit="1" customWidth="1"/>
    <col min="10" max="10" width="9.5703125" bestFit="1" customWidth="1"/>
    <col min="11" max="11" width="12.140625" bestFit="1" customWidth="1"/>
    <col min="12" max="12" width="10.7109375" bestFit="1" customWidth="1"/>
    <col min="13" max="13" width="14.140625" customWidth="1"/>
    <col min="14" max="14" width="12" bestFit="1" customWidth="1"/>
    <col min="15" max="15" width="13.42578125" bestFit="1" customWidth="1"/>
    <col min="16" max="16" width="5.28515625" bestFit="1" customWidth="1"/>
    <col min="17" max="17" width="19.85546875" bestFit="1" customWidth="1"/>
    <col min="18" max="18" width="51.7109375" bestFit="1" customWidth="1"/>
    <col min="19" max="19" width="7.5703125" bestFit="1" customWidth="1"/>
  </cols>
  <sheetData>
    <row r="1" spans="1:19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20" t="s">
        <v>44</v>
      </c>
      <c r="G1" s="20" t="s">
        <v>10</v>
      </c>
      <c r="H1" s="20" t="s">
        <v>11</v>
      </c>
      <c r="I1" s="29" t="s">
        <v>61</v>
      </c>
      <c r="J1" s="29" t="s">
        <v>62</v>
      </c>
      <c r="K1" s="30" t="s">
        <v>93</v>
      </c>
      <c r="L1" s="30" t="s">
        <v>94</v>
      </c>
      <c r="M1" s="30" t="s">
        <v>95</v>
      </c>
      <c r="N1" s="30" t="s">
        <v>96</v>
      </c>
      <c r="O1" s="7" t="s">
        <v>45</v>
      </c>
      <c r="P1" s="7" t="s">
        <v>39</v>
      </c>
      <c r="Q1" s="7" t="s">
        <v>114</v>
      </c>
      <c r="R1" s="7" t="s">
        <v>46</v>
      </c>
      <c r="S1" s="7" t="s">
        <v>69</v>
      </c>
    </row>
    <row r="2" spans="1:19" x14ac:dyDescent="0.25">
      <c r="A2" t="s">
        <v>50</v>
      </c>
      <c r="B2" t="s">
        <v>92</v>
      </c>
      <c r="C2" t="s">
        <v>97</v>
      </c>
      <c r="D2">
        <v>0</v>
      </c>
      <c r="E2">
        <v>0</v>
      </c>
      <c r="F2" s="17">
        <v>365</v>
      </c>
      <c r="G2" s="17">
        <v>10</v>
      </c>
      <c r="H2" s="17">
        <v>0.02</v>
      </c>
      <c r="I2" s="19">
        <v>15</v>
      </c>
      <c r="J2" s="19">
        <v>40</v>
      </c>
      <c r="K2" s="28">
        <v>1</v>
      </c>
      <c r="L2" s="28">
        <v>60</v>
      </c>
      <c r="M2" s="28">
        <v>0</v>
      </c>
      <c r="N2" s="28">
        <v>0</v>
      </c>
      <c r="O2" t="s">
        <v>60</v>
      </c>
      <c r="P2" t="s">
        <v>12</v>
      </c>
      <c r="Q2" t="s">
        <v>105</v>
      </c>
      <c r="R2" t="s">
        <v>101</v>
      </c>
      <c r="S2" t="s">
        <v>113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topLeftCell="C1" workbookViewId="0">
      <selection activeCell="M15" sqref="M15"/>
    </sheetView>
  </sheetViews>
  <sheetFormatPr defaultRowHeight="15" x14ac:dyDescent="0.25"/>
  <cols>
    <col min="1" max="1" width="11.42578125" bestFit="1" customWidth="1"/>
    <col min="2" max="2" width="32.140625" bestFit="1" customWidth="1"/>
    <col min="3" max="3" width="13.42578125" customWidth="1"/>
    <col min="4" max="4" width="11.42578125" bestFit="1" customWidth="1"/>
    <col min="5" max="5" width="35.5703125" bestFit="1" customWidth="1"/>
    <col min="6" max="6" width="11.42578125" bestFit="1" customWidth="1"/>
    <col min="7" max="7" width="10.28515625" style="4" customWidth="1"/>
    <col min="8" max="8" width="7.85546875" bestFit="1" customWidth="1"/>
    <col min="9" max="10" width="13.28515625" customWidth="1"/>
    <col min="11" max="11" width="17.140625" customWidth="1"/>
    <col min="12" max="12" width="17.28515625" customWidth="1"/>
    <col min="13" max="13" width="34.85546875" bestFit="1" customWidth="1"/>
    <col min="14" max="14" width="16.28515625" customWidth="1"/>
    <col min="15" max="15" width="47.140625" bestFit="1" customWidth="1"/>
    <col min="16" max="16" width="9.85546875" bestFit="1" customWidth="1"/>
  </cols>
  <sheetData>
    <row r="1" spans="1:16" s="10" customFormat="1" ht="60" x14ac:dyDescent="0.25">
      <c r="A1" s="7" t="s">
        <v>5</v>
      </c>
      <c r="B1" s="7" t="s">
        <v>8</v>
      </c>
      <c r="C1" s="7" t="s">
        <v>9</v>
      </c>
      <c r="D1" s="8" t="s">
        <v>44</v>
      </c>
      <c r="E1" s="8" t="s">
        <v>10</v>
      </c>
      <c r="F1" s="8" t="s">
        <v>11</v>
      </c>
      <c r="G1" s="7" t="s">
        <v>45</v>
      </c>
      <c r="H1" s="9" t="s">
        <v>42</v>
      </c>
      <c r="I1" s="14" t="s">
        <v>74</v>
      </c>
      <c r="J1" s="14" t="s">
        <v>100</v>
      </c>
      <c r="K1" s="14" t="s">
        <v>73</v>
      </c>
      <c r="L1" s="14" t="s">
        <v>72</v>
      </c>
      <c r="M1" s="14" t="s">
        <v>76</v>
      </c>
      <c r="N1" s="9" t="s">
        <v>40</v>
      </c>
      <c r="O1" s="7" t="s">
        <v>114</v>
      </c>
      <c r="P1" s="7" t="s">
        <v>69</v>
      </c>
    </row>
    <row r="2" spans="1:16" s="2" customFormat="1" x14ac:dyDescent="0.25">
      <c r="A2" t="s">
        <v>50</v>
      </c>
      <c r="B2" t="s">
        <v>111</v>
      </c>
      <c r="C2" t="s">
        <v>107</v>
      </c>
      <c r="D2" s="6">
        <v>365</v>
      </c>
      <c r="E2" s="6">
        <v>20</v>
      </c>
      <c r="F2" s="6">
        <v>0.02</v>
      </c>
      <c r="G2" s="4" t="s">
        <v>60</v>
      </c>
      <c r="H2">
        <v>1</v>
      </c>
      <c r="I2" s="19">
        <v>1</v>
      </c>
      <c r="J2" s="19">
        <v>0.1</v>
      </c>
      <c r="K2" s="19">
        <v>2</v>
      </c>
      <c r="L2" s="19">
        <v>3</v>
      </c>
      <c r="M2" s="19" t="s">
        <v>124</v>
      </c>
      <c r="N2" t="s">
        <v>70</v>
      </c>
      <c r="O2" t="s">
        <v>115</v>
      </c>
      <c r="P2" t="s">
        <v>120</v>
      </c>
    </row>
    <row r="3" spans="1:16" s="2" customFormat="1" x14ac:dyDescent="0.25">
      <c r="A3" t="s">
        <v>50</v>
      </c>
      <c r="B3" t="s">
        <v>111</v>
      </c>
      <c r="C3" t="s">
        <v>106</v>
      </c>
      <c r="D3" s="6">
        <v>365</v>
      </c>
      <c r="E3" s="6">
        <v>20</v>
      </c>
      <c r="F3" s="6">
        <v>0.02</v>
      </c>
      <c r="G3" s="4" t="s">
        <v>60</v>
      </c>
      <c r="H3">
        <v>1</v>
      </c>
      <c r="I3" s="19">
        <v>1</v>
      </c>
      <c r="J3" s="19">
        <v>0.1</v>
      </c>
      <c r="K3" s="19">
        <v>1</v>
      </c>
      <c r="L3" s="19">
        <v>2</v>
      </c>
      <c r="M3" s="19" t="s">
        <v>124</v>
      </c>
      <c r="N3" t="s">
        <v>108</v>
      </c>
      <c r="O3" t="s">
        <v>116</v>
      </c>
      <c r="P3" t="s">
        <v>120</v>
      </c>
    </row>
  </sheetData>
  <phoneticPr fontId="3" type="noConversion"/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71AB0-1172-4697-9043-351C5693FD3A}">
  <dimension ref="A1:Y3"/>
  <sheetViews>
    <sheetView zoomScaleNormal="100" workbookViewId="0">
      <selection activeCell="H17" sqref="H17"/>
    </sheetView>
  </sheetViews>
  <sheetFormatPr defaultColWidth="16" defaultRowHeight="15" x14ac:dyDescent="0.25"/>
  <cols>
    <col min="1" max="1" width="11.42578125" bestFit="1" customWidth="1"/>
    <col min="2" max="2" width="23.7109375" bestFit="1" customWidth="1"/>
    <col min="3" max="3" width="5" bestFit="1" customWidth="1"/>
    <col min="4" max="4" width="8.5703125" bestFit="1" customWidth="1"/>
    <col min="5" max="5" width="16.28515625" bestFit="1" customWidth="1"/>
    <col min="6" max="6" width="11.5703125" bestFit="1" customWidth="1"/>
    <col min="7" max="9" width="12.140625" customWidth="1"/>
    <col min="10" max="10" width="13.140625" bestFit="1" customWidth="1"/>
    <col min="11" max="11" width="10.5703125" bestFit="1" customWidth="1"/>
    <col min="12" max="12" width="11.42578125" bestFit="1" customWidth="1"/>
    <col min="13" max="13" width="15.7109375" bestFit="1" customWidth="1"/>
    <col min="14" max="14" width="11.5703125" bestFit="1" customWidth="1"/>
    <col min="15" max="16" width="12" bestFit="1" customWidth="1"/>
    <col min="17" max="17" width="10.85546875" bestFit="1" customWidth="1"/>
    <col min="18" max="20" width="15.42578125" customWidth="1"/>
    <col min="21" max="21" width="17.42578125" customWidth="1"/>
    <col min="22" max="23" width="15.42578125" customWidth="1"/>
    <col min="24" max="24" width="63.7109375" bestFit="1" customWidth="1"/>
    <col min="25" max="25" width="7.5703125" bestFit="1" customWidth="1"/>
    <col min="26" max="26" width="19.85546875" bestFit="1" customWidth="1"/>
  </cols>
  <sheetData>
    <row r="1" spans="1:25" s="2" customFormat="1" ht="75" x14ac:dyDescent="0.25">
      <c r="A1" s="7" t="s">
        <v>5</v>
      </c>
      <c r="B1" s="7" t="s">
        <v>8</v>
      </c>
      <c r="C1" s="7" t="s">
        <v>9</v>
      </c>
      <c r="D1" s="7" t="s">
        <v>45</v>
      </c>
      <c r="E1" s="7" t="s">
        <v>103</v>
      </c>
      <c r="F1" s="11" t="s">
        <v>104</v>
      </c>
      <c r="G1" s="23" t="s">
        <v>10</v>
      </c>
      <c r="H1" s="8" t="s">
        <v>44</v>
      </c>
      <c r="I1" s="8" t="s">
        <v>11</v>
      </c>
      <c r="J1" s="24" t="s">
        <v>80</v>
      </c>
      <c r="K1" s="24" t="s">
        <v>81</v>
      </c>
      <c r="L1" s="12" t="s">
        <v>52</v>
      </c>
      <c r="M1" s="12" t="s">
        <v>53</v>
      </c>
      <c r="N1" s="12" t="s">
        <v>54</v>
      </c>
      <c r="O1" s="13" t="s">
        <v>55</v>
      </c>
      <c r="P1" s="13" t="s">
        <v>56</v>
      </c>
      <c r="Q1" s="13" t="s">
        <v>57</v>
      </c>
      <c r="R1" s="26" t="s">
        <v>87</v>
      </c>
      <c r="S1" s="26" t="s">
        <v>88</v>
      </c>
      <c r="T1" s="26" t="s">
        <v>89</v>
      </c>
      <c r="U1" s="26" t="s">
        <v>98</v>
      </c>
      <c r="V1" s="26" t="s">
        <v>91</v>
      </c>
      <c r="W1" s="26" t="s">
        <v>90</v>
      </c>
      <c r="X1" s="7" t="s">
        <v>114</v>
      </c>
      <c r="Y1" s="7" t="s">
        <v>69</v>
      </c>
    </row>
    <row r="2" spans="1:25" x14ac:dyDescent="0.25">
      <c r="A2" t="s">
        <v>50</v>
      </c>
      <c r="B2" t="s">
        <v>86</v>
      </c>
      <c r="C2" s="15" t="s">
        <v>82</v>
      </c>
      <c r="D2" s="4" t="s">
        <v>78</v>
      </c>
      <c r="E2" t="s">
        <v>79</v>
      </c>
      <c r="F2" t="s">
        <v>41</v>
      </c>
      <c r="G2" s="6">
        <v>200</v>
      </c>
      <c r="H2" s="6">
        <v>365</v>
      </c>
      <c r="I2" s="6">
        <v>4.3276E-3</v>
      </c>
      <c r="J2">
        <v>2</v>
      </c>
      <c r="K2">
        <v>3</v>
      </c>
      <c r="L2" s="16">
        <v>0</v>
      </c>
      <c r="M2" s="16">
        <v>365</v>
      </c>
      <c r="N2" s="16">
        <v>0.34166999999999997</v>
      </c>
      <c r="O2" s="18">
        <v>0</v>
      </c>
      <c r="P2" s="18">
        <v>365</v>
      </c>
      <c r="Q2" s="18">
        <v>0.14960999999999999</v>
      </c>
      <c r="R2" s="22">
        <v>15</v>
      </c>
      <c r="S2" s="22">
        <v>15</v>
      </c>
      <c r="T2" s="22">
        <v>0.1</v>
      </c>
      <c r="U2" s="27">
        <v>3000</v>
      </c>
      <c r="V2" s="27">
        <v>10000</v>
      </c>
      <c r="W2" s="27">
        <v>5000</v>
      </c>
      <c r="X2" t="s">
        <v>117</v>
      </c>
      <c r="Y2" t="s">
        <v>121</v>
      </c>
    </row>
    <row r="3" spans="1:25" x14ac:dyDescent="0.25">
      <c r="A3" t="s">
        <v>50</v>
      </c>
      <c r="B3" t="s">
        <v>86</v>
      </c>
      <c r="C3" s="15" t="s">
        <v>58</v>
      </c>
      <c r="D3" s="4" t="s">
        <v>60</v>
      </c>
      <c r="E3" t="s">
        <v>59</v>
      </c>
      <c r="F3" t="s">
        <v>33</v>
      </c>
      <c r="G3" s="6">
        <v>200</v>
      </c>
      <c r="H3" s="6">
        <v>365</v>
      </c>
      <c r="I3" s="6">
        <v>4.3276E-3</v>
      </c>
      <c r="J3">
        <v>4</v>
      </c>
      <c r="K3">
        <v>5</v>
      </c>
      <c r="L3" s="16">
        <v>0</v>
      </c>
      <c r="M3" s="16">
        <v>365</v>
      </c>
      <c r="N3" s="16">
        <v>0.34166999999999997</v>
      </c>
      <c r="O3" s="18">
        <v>0</v>
      </c>
      <c r="P3" s="18">
        <v>365</v>
      </c>
      <c r="Q3" s="18">
        <v>0.14960999999999999</v>
      </c>
      <c r="R3" s="22">
        <v>15</v>
      </c>
      <c r="S3" s="22">
        <v>15</v>
      </c>
      <c r="T3" s="22">
        <v>0.1</v>
      </c>
      <c r="U3" s="27">
        <v>3000</v>
      </c>
      <c r="V3" s="27">
        <v>10000</v>
      </c>
      <c r="W3" s="27">
        <v>5000</v>
      </c>
      <c r="X3" t="s">
        <v>118</v>
      </c>
      <c r="Y3" t="s">
        <v>121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8BCD-50B3-4F7E-862F-3A5366C68F96}">
  <dimension ref="A1:G19"/>
  <sheetViews>
    <sheetView workbookViewId="0">
      <selection activeCell="I8" sqref="I8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28515625" bestFit="1" customWidth="1"/>
    <col min="4" max="4" width="13.85546875" bestFit="1" customWidth="1"/>
    <col min="5" max="5" width="18.7109375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25">
      <c r="A2" s="25" t="s">
        <v>34</v>
      </c>
      <c r="B2" s="25" t="s">
        <v>50</v>
      </c>
      <c r="C2" s="25" t="s">
        <v>66</v>
      </c>
      <c r="D2" s="25" t="s">
        <v>50</v>
      </c>
      <c r="E2" s="25" t="s">
        <v>107</v>
      </c>
      <c r="F2" s="25" t="s">
        <v>33</v>
      </c>
      <c r="G2" s="25"/>
    </row>
    <row r="3" spans="1:7" x14ac:dyDescent="0.25">
      <c r="A3" s="25" t="s">
        <v>34</v>
      </c>
      <c r="B3" s="25" t="s">
        <v>50</v>
      </c>
      <c r="C3" s="25" t="s">
        <v>66</v>
      </c>
      <c r="D3" s="25" t="s">
        <v>50</v>
      </c>
      <c r="E3" s="25" t="s">
        <v>107</v>
      </c>
      <c r="F3" s="25" t="s">
        <v>41</v>
      </c>
      <c r="G3" s="25"/>
    </row>
    <row r="4" spans="1:7" x14ac:dyDescent="0.25">
      <c r="A4" s="25" t="s">
        <v>34</v>
      </c>
      <c r="B4" s="25" t="s">
        <v>50</v>
      </c>
      <c r="C4" s="25" t="s">
        <v>109</v>
      </c>
      <c r="D4" s="25" t="s">
        <v>50</v>
      </c>
      <c r="E4" s="25" t="s">
        <v>107</v>
      </c>
      <c r="F4" s="25" t="s">
        <v>33</v>
      </c>
      <c r="G4" s="25"/>
    </row>
    <row r="5" spans="1:7" x14ac:dyDescent="0.25">
      <c r="A5" s="25" t="s">
        <v>34</v>
      </c>
      <c r="B5" s="25" t="s">
        <v>50</v>
      </c>
      <c r="C5" s="25" t="s">
        <v>109</v>
      </c>
      <c r="D5" s="25" t="s">
        <v>50</v>
      </c>
      <c r="E5" s="25" t="s">
        <v>107</v>
      </c>
      <c r="F5" s="25" t="s">
        <v>41</v>
      </c>
      <c r="G5" s="25"/>
    </row>
    <row r="6" spans="1:7" x14ac:dyDescent="0.25">
      <c r="A6" s="25" t="s">
        <v>34</v>
      </c>
      <c r="B6" s="25" t="s">
        <v>50</v>
      </c>
      <c r="C6" s="25" t="s">
        <v>110</v>
      </c>
      <c r="D6" s="25" t="s">
        <v>50</v>
      </c>
      <c r="E6" s="25" t="s">
        <v>107</v>
      </c>
      <c r="F6" s="25" t="s">
        <v>33</v>
      </c>
      <c r="G6" s="25"/>
    </row>
    <row r="7" spans="1:7" x14ac:dyDescent="0.25">
      <c r="A7" s="25" t="s">
        <v>34</v>
      </c>
      <c r="B7" s="25" t="s">
        <v>50</v>
      </c>
      <c r="C7" s="25" t="s">
        <v>110</v>
      </c>
      <c r="D7" s="25" t="s">
        <v>50</v>
      </c>
      <c r="E7" s="25" t="s">
        <v>107</v>
      </c>
      <c r="F7" s="25" t="s">
        <v>41</v>
      </c>
      <c r="G7" s="25"/>
    </row>
    <row r="9" spans="1:7" x14ac:dyDescent="0.25">
      <c r="A9" s="18" t="s">
        <v>34</v>
      </c>
      <c r="B9" s="18" t="s">
        <v>50</v>
      </c>
      <c r="C9" s="18" t="s">
        <v>107</v>
      </c>
      <c r="D9" s="18" t="s">
        <v>50</v>
      </c>
      <c r="E9" s="18" t="s">
        <v>106</v>
      </c>
      <c r="F9" s="18" t="s">
        <v>33</v>
      </c>
      <c r="G9" s="18" t="s">
        <v>85</v>
      </c>
    </row>
    <row r="10" spans="1:7" x14ac:dyDescent="0.25">
      <c r="A10" s="18" t="s">
        <v>34</v>
      </c>
      <c r="B10" s="18" t="s">
        <v>50</v>
      </c>
      <c r="C10" s="18" t="s">
        <v>107</v>
      </c>
      <c r="D10" s="18" t="s">
        <v>50</v>
      </c>
      <c r="E10" s="18" t="s">
        <v>106</v>
      </c>
      <c r="F10" s="18" t="s">
        <v>41</v>
      </c>
      <c r="G10" s="18" t="s">
        <v>71</v>
      </c>
    </row>
    <row r="11" spans="1:7" x14ac:dyDescent="0.25">
      <c r="A11" s="18" t="s">
        <v>34</v>
      </c>
      <c r="B11" s="18" t="s">
        <v>50</v>
      </c>
      <c r="C11" s="18" t="s">
        <v>107</v>
      </c>
      <c r="D11" s="18" t="s">
        <v>50</v>
      </c>
      <c r="E11" s="18" t="s">
        <v>106</v>
      </c>
      <c r="F11" s="18" t="s">
        <v>75</v>
      </c>
      <c r="G11" s="18" t="s">
        <v>83</v>
      </c>
    </row>
    <row r="12" spans="1:7" x14ac:dyDescent="0.25">
      <c r="A12" s="18" t="s">
        <v>34</v>
      </c>
      <c r="B12" s="18" t="s">
        <v>50</v>
      </c>
      <c r="C12" s="18" t="s">
        <v>107</v>
      </c>
      <c r="D12" s="18" t="s">
        <v>50</v>
      </c>
      <c r="E12" s="18" t="s">
        <v>106</v>
      </c>
      <c r="F12" s="18" t="s">
        <v>75</v>
      </c>
      <c r="G12" s="18" t="s">
        <v>84</v>
      </c>
    </row>
    <row r="14" spans="1:7" x14ac:dyDescent="0.25">
      <c r="A14" s="18" t="s">
        <v>34</v>
      </c>
      <c r="B14" s="18" t="s">
        <v>50</v>
      </c>
      <c r="C14" s="18" t="s">
        <v>106</v>
      </c>
      <c r="D14" s="18" t="s">
        <v>50</v>
      </c>
      <c r="E14" s="18" t="s">
        <v>82</v>
      </c>
      <c r="F14" s="18" t="s">
        <v>41</v>
      </c>
      <c r="G14" s="18" t="s">
        <v>71</v>
      </c>
    </row>
    <row r="16" spans="1:7" x14ac:dyDescent="0.25">
      <c r="A16" s="25" t="s">
        <v>34</v>
      </c>
      <c r="B16" s="25" t="s">
        <v>50</v>
      </c>
      <c r="C16" s="25" t="s">
        <v>106</v>
      </c>
      <c r="D16" s="25" t="s">
        <v>50</v>
      </c>
      <c r="E16" s="25" t="s">
        <v>58</v>
      </c>
      <c r="F16" s="25" t="s">
        <v>75</v>
      </c>
      <c r="G16" s="25" t="s">
        <v>77</v>
      </c>
    </row>
    <row r="17" spans="1:7" x14ac:dyDescent="0.25">
      <c r="A17" s="25" t="s">
        <v>34</v>
      </c>
      <c r="B17" s="25" t="s">
        <v>50</v>
      </c>
      <c r="C17" s="25" t="s">
        <v>106</v>
      </c>
      <c r="D17" s="25" t="s">
        <v>50</v>
      </c>
      <c r="E17" s="25" t="s">
        <v>58</v>
      </c>
      <c r="F17" s="25" t="s">
        <v>33</v>
      </c>
      <c r="G17" s="25" t="s">
        <v>85</v>
      </c>
    </row>
    <row r="18" spans="1:7" x14ac:dyDescent="0.25">
      <c r="A18" s="25" t="s">
        <v>34</v>
      </c>
      <c r="B18" s="25" t="s">
        <v>50</v>
      </c>
      <c r="C18" s="25" t="s">
        <v>106</v>
      </c>
      <c r="D18" s="25" t="s">
        <v>50</v>
      </c>
      <c r="E18" s="25" t="s">
        <v>58</v>
      </c>
      <c r="F18" s="25" t="s">
        <v>75</v>
      </c>
      <c r="G18" s="25" t="s">
        <v>83</v>
      </c>
    </row>
    <row r="19" spans="1:7" x14ac:dyDescent="0.25">
      <c r="A19" s="25" t="s">
        <v>34</v>
      </c>
      <c r="B19" s="25" t="s">
        <v>50</v>
      </c>
      <c r="C19" s="25" t="s">
        <v>106</v>
      </c>
      <c r="D19" s="25" t="s">
        <v>50</v>
      </c>
      <c r="E19" s="25" t="s">
        <v>58</v>
      </c>
      <c r="F19" s="25" t="s">
        <v>75</v>
      </c>
      <c r="G19" s="25" t="s">
        <v>84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19" sqref="D19"/>
    </sheetView>
  </sheetViews>
  <sheetFormatPr defaultRowHeight="15" x14ac:dyDescent="0.25"/>
  <cols>
    <col min="1" max="1" width="19.28515625" bestFit="1" customWidth="1"/>
    <col min="2" max="2" width="15.425781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36</v>
      </c>
      <c r="C1" t="s">
        <v>37</v>
      </c>
    </row>
    <row r="2" spans="1:3" x14ac:dyDescent="0.25">
      <c r="A2" t="s">
        <v>38</v>
      </c>
      <c r="B2" t="str">
        <f t="shared" ref="B2" si="0">"FFDump"&amp;C2</f>
        <v>FFDump50</v>
      </c>
      <c r="C2">
        <v>50</v>
      </c>
    </row>
    <row r="3" spans="1:3" x14ac:dyDescent="0.25">
      <c r="A3" t="s">
        <v>38</v>
      </c>
      <c r="B3" t="str">
        <f t="shared" ref="B3" si="1">"FFDump"&amp;C3</f>
        <v>FFDump14140</v>
      </c>
      <c r="C3">
        <v>14140</v>
      </c>
    </row>
    <row r="4" spans="1:3" x14ac:dyDescent="0.25">
      <c r="A4" t="s">
        <v>38</v>
      </c>
      <c r="B4" t="str">
        <f t="shared" ref="B4" si="2">"FFDump"&amp;C4</f>
        <v>FFDump1580</v>
      </c>
      <c r="C4">
        <v>1580</v>
      </c>
    </row>
    <row r="5" spans="1:3" x14ac:dyDescent="0.25">
      <c r="A5" t="s">
        <v>38</v>
      </c>
      <c r="B5" t="str">
        <f t="shared" ref="B5" si="3">"FFDump"&amp;C5</f>
        <v>FFDump158580</v>
      </c>
      <c r="C5">
        <v>158580</v>
      </c>
    </row>
    <row r="6" spans="1:3" x14ac:dyDescent="0.25">
      <c r="A6" t="s">
        <v>38</v>
      </c>
      <c r="B6" t="str">
        <f t="shared" ref="B6" si="4">"FFDump"&amp;C6</f>
        <v>FFDump6345</v>
      </c>
      <c r="C6">
        <v>6345</v>
      </c>
    </row>
    <row r="7" spans="1:3" x14ac:dyDescent="0.25">
      <c r="A7" t="s">
        <v>38</v>
      </c>
      <c r="B7" t="str">
        <f t="shared" ref="B7" si="5">"FFDump"&amp;C7</f>
        <v>FFDump703000</v>
      </c>
      <c r="C7">
        <v>703000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D32" sqref="D32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99</v>
      </c>
      <c r="B3" t="s">
        <v>99</v>
      </c>
    </row>
    <row r="4" spans="1:2" x14ac:dyDescent="0.25">
      <c r="A4" t="s">
        <v>35</v>
      </c>
      <c r="B4" t="s">
        <v>35</v>
      </c>
    </row>
    <row r="5" spans="1:2" x14ac:dyDescent="0.25">
      <c r="A5" t="s">
        <v>14</v>
      </c>
      <c r="B5" t="s">
        <v>14</v>
      </c>
    </row>
    <row r="6" spans="1:2" x14ac:dyDescent="0.25">
      <c r="A6" t="s">
        <v>47</v>
      </c>
      <c r="B6" t="s">
        <v>47</v>
      </c>
    </row>
    <row r="7" spans="1:2" x14ac:dyDescent="0.25">
      <c r="A7" t="s">
        <v>26</v>
      </c>
      <c r="B7" t="s">
        <v>26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9" sqref="A9:B9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43</v>
      </c>
      <c r="B4" t="s">
        <v>43</v>
      </c>
    </row>
    <row r="5" spans="1:2" x14ac:dyDescent="0.25">
      <c r="A5" t="s">
        <v>35</v>
      </c>
      <c r="B5" t="s">
        <v>35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48</v>
      </c>
      <c r="B10" t="s">
        <v>48</v>
      </c>
    </row>
    <row r="11" spans="1:2" x14ac:dyDescent="0.25">
      <c r="A11" t="s">
        <v>49</v>
      </c>
      <c r="B11" t="s">
        <v>49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47</v>
      </c>
      <c r="B13" t="s">
        <v>47</v>
      </c>
    </row>
    <row r="14" spans="1:2" x14ac:dyDescent="0.25">
      <c r="A14" t="s">
        <v>26</v>
      </c>
      <c r="B14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ContinuousWells</vt:lpstr>
      <vt:lpstr>CyclingWells</vt:lpstr>
      <vt:lpstr>Separators</vt:lpstr>
      <vt:lpstr>Tank Battery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2023-10-28T20:48:12Z</dcterms:modified>
</cp:coreProperties>
</file>