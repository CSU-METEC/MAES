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/>
  <mc:AlternateContent xmlns:mc="http://schemas.openxmlformats.org/markup-compatibility/2006">
    <mc:Choice Requires="x15">
      <x15ac:absPath xmlns:x15ac="http://schemas.microsoft.com/office/spreadsheetml/2010/11/ac" url="C:\death\METEC_MEET\MEET_2.0_0007_P\input\Studies\MEET2\"/>
    </mc:Choice>
  </mc:AlternateContent>
  <xr:revisionPtr revIDLastSave="0" documentId="13_ncr:1_{AE5D5ED4-1BD8-4A1A-A8BF-2EDE64982021}" xr6:coauthVersionLast="47" xr6:coauthVersionMax="47" xr10:uidLastSave="{00000000-0000-0000-0000-000000000000}"/>
  <bookViews>
    <workbookView xWindow="-120" yWindow="-120" windowWidth="29040" windowHeight="15840" tabRatio="937" xr2:uid="{00000000-000D-0000-FFFF-FFFF00000000}"/>
  </bookViews>
  <sheets>
    <sheet name="Global Simulation Parameters" sheetId="1" r:id="rId1"/>
    <sheet name="Facilities" sheetId="2" r:id="rId2"/>
    <sheet name="Source" sheetId="21" r:id="rId3"/>
    <sheet name="ContinuousWells" sheetId="23" r:id="rId4"/>
    <sheet name="CyclingWells" sheetId="24" r:id="rId5"/>
    <sheet name="ContinuousSeparators" sheetId="5" r:id="rId6"/>
    <sheet name="DumpingSeparators" sheetId="25" r:id="rId7"/>
    <sheet name="TankBattery" sheetId="26" r:id="rId8"/>
    <sheet name="Dehydrators" sheetId="27" r:id="rId9"/>
    <sheet name="Compressors" sheetId="28" r:id="rId10"/>
    <sheet name="Other" sheetId="29" r:id="rId11"/>
    <sheet name="VRUs" sheetId="31" r:id="rId12"/>
    <sheet name="Flares" sheetId="32" r:id="rId13"/>
    <sheet name="Probes" sheetId="22" r:id="rId14"/>
    <sheet name="FFLinks" sheetId="16" r:id="rId15"/>
    <sheet name="Debug" sheetId="17" r:id="rId16"/>
    <sheet name="Master Equipment" sheetId="14" r:id="rId17"/>
    <sheet name="MAll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" i="31" l="1"/>
  <c r="T2" i="31"/>
  <c r="P2" i="31"/>
  <c r="O2" i="31"/>
  <c r="W2" i="28"/>
  <c r="V2" i="28"/>
  <c r="P2" i="28"/>
  <c r="O2" i="28"/>
  <c r="B5" i="17" l="1"/>
  <c r="B4" i="17"/>
  <c r="B3" i="17"/>
  <c r="B2" i="17"/>
</calcChain>
</file>

<file path=xl/sharedStrings.xml><?xml version="1.0" encoding="utf-8"?>
<sst xmlns="http://schemas.openxmlformats.org/spreadsheetml/2006/main" count="705" uniqueCount="246">
  <si>
    <t>Simulation Start Date</t>
  </si>
  <si>
    <t>1/1/2021</t>
  </si>
  <si>
    <t>Simulation Duration [Days]</t>
  </si>
  <si>
    <t>Number of Monte Carlo Iterations</t>
  </si>
  <si>
    <t>Output Directory Template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</si>
  <si>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</si>
  <si>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</si>
  <si>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</si>
  <si>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</si>
  <si>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</si>
  <si>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</si>
  <si>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</si>
  <si>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</si>
  <si>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</si>
  <si>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</si>
  <si>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</si>
  <si>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</si>
  <si>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</si>
  <si>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</si>
  <si>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</si>
  <si>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</si>
  <si>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</si>
  <si>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</si>
  <si>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</si>
  <si>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</si>
  <si>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</si>
  <si>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</si>
  <si>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</si>
  <si>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</si>
  <si>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</si>
  <si>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</si>
  <si>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</si>
  <si>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</si>
  <si>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</si>
  <si>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</si>
  <si>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</si>
  <si>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</si>
  <si>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</si>
  <si>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</si>
  <si>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</si>
  <si>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</si>
  <si>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</si>
  <si>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</si>
  <si>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</si>
  <si>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</si>
  <si>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</si>
  <si>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</si>
  <si>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</si>
  <si>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</si>
  <si>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</si>
  <si>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Oil Production [bbl/day]</t>
  </si>
  <si>
    <t>Water Production [bbl/day]</t>
  </si>
  <si>
    <t>Gas Production [Mscf/day]</t>
  </si>
  <si>
    <t>W1</t>
  </si>
  <si>
    <t>ContinuousSeparator.json</t>
  </si>
  <si>
    <t>Probes</t>
  </si>
  <si>
    <t>Probe.json</t>
  </si>
  <si>
    <t>Vapor</t>
  </si>
  <si>
    <t>Stage1</t>
  </si>
  <si>
    <t>FixedSource.json</t>
  </si>
  <si>
    <t>input/Studies/MEET2/TestCompositionsFF.csv</t>
  </si>
  <si>
    <t>Activity / Emission Factor Name</t>
  </si>
  <si>
    <t>probe_c</t>
  </si>
  <si>
    <t>probe_w</t>
  </si>
  <si>
    <t>probe_g</t>
  </si>
  <si>
    <t>Di per month</t>
  </si>
  <si>
    <t>b Hyperbolic</t>
  </si>
  <si>
    <t>Age months</t>
  </si>
  <si>
    <t>Factor Tag</t>
  </si>
  <si>
    <t>Well.json</t>
  </si>
  <si>
    <t>W5</t>
  </si>
  <si>
    <t>Gas</t>
  </si>
  <si>
    <t>ContinuousWells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</si>
  <si>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</si>
  <si>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</si>
  <si>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</si>
  <si>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</si>
  <si>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</si>
  <si>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FlashFractions\FlashFractionsTest.csv</t>
  </si>
  <si>
    <t>S2</t>
  </si>
  <si>
    <t>Stage2</t>
  </si>
  <si>
    <t>condensate_flow</t>
  </si>
  <si>
    <t>primary_water</t>
  </si>
  <si>
    <t>stuck_dump_valve_vapor</t>
  </si>
  <si>
    <t>condensate_flash</t>
  </si>
  <si>
    <t>water_flash</t>
  </si>
  <si>
    <t>Default-LeakGc</t>
  </si>
  <si>
    <t>Approx Planning Time [days]</t>
  </si>
  <si>
    <t>Approx Delay After Planning [days]</t>
  </si>
  <si>
    <t>Approx Drilling Time [days]</t>
  </si>
  <si>
    <t>Approx Delay After Drilling [days]</t>
  </si>
  <si>
    <t>Completion Durations Name</t>
  </si>
  <si>
    <t>Approx Delay After Completion [days]</t>
  </si>
  <si>
    <t>Approx Flow Back Time [days]</t>
  </si>
  <si>
    <t>Approx Delay After Flow Back [days]</t>
  </si>
  <si>
    <t>Optional Unloading [True, False]</t>
  </si>
  <si>
    <t>Min Time Between Unloadings [days]</t>
  </si>
  <si>
    <t>Max Time Between Unloadings [days]</t>
  </si>
  <si>
    <t>Unloading Type [Manual, Automatic]</t>
  </si>
  <si>
    <t>Weekdays Only [Yes, No]</t>
  </si>
  <si>
    <t>LU Shut-In Duration Min [hours]</t>
  </si>
  <si>
    <t>LU Shut-In Duration Max [hours]</t>
  </si>
  <si>
    <t>Unloading Duration Min [hours]</t>
  </si>
  <si>
    <t>Unloading Duration Max [hours]</t>
  </si>
  <si>
    <t>Destination of Unloading Gas</t>
  </si>
  <si>
    <t>Simulation Start Stage [PreProduction, Production]</t>
  </si>
  <si>
    <t>WellCompletions/Allen2013/Durations.csv</t>
  </si>
  <si>
    <t>Manual</t>
  </si>
  <si>
    <t>Yes</t>
  </si>
  <si>
    <t>some_vent_ID</t>
  </si>
  <si>
    <t>PreProduction</t>
  </si>
  <si>
    <t>Total Liquids Produced [bbl/dump]</t>
  </si>
  <si>
    <t>Mean Production Time [s]</t>
  </si>
  <si>
    <t>Production Time Variation [s]</t>
  </si>
  <si>
    <t>Shut In Time Variation [percent]</t>
  </si>
  <si>
    <t>CycledWell.json</t>
  </si>
  <si>
    <t>No</t>
  </si>
  <si>
    <t>Production</t>
  </si>
  <si>
    <t>Dump Volume [bbl]</t>
  </si>
  <si>
    <t>Dump Time [s]</t>
  </si>
  <si>
    <t>FlashFractions/FlashFractionsTest.csv</t>
  </si>
  <si>
    <t>DumpingSeparator.json</t>
  </si>
  <si>
    <t>Battery Type [Condensate Tank, Water Tank]</t>
  </si>
  <si>
    <t>Fluid [Water, Condensate]</t>
  </si>
  <si>
    <t>Number of Thief Hatches</t>
  </si>
  <si>
    <t>Number of Vents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</si>
  <si>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</si>
  <si>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</si>
  <si>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</si>
  <si>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</si>
  <si>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</si>
  <si>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</si>
  <si>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Overpressure Vents Large Emitter MTTR min [days]</t>
  </si>
  <si>
    <t>Overpressure Vents Large Emitter MTTR max [days]</t>
  </si>
  <si>
    <t>Overpressure Vents Large Emitter pLeak</t>
  </si>
  <si>
    <t>Overpressure Vents Large Emitter Threshold [scfh]</t>
  </si>
  <si>
    <t>Inlet Flow At Max Primary Flow [scfh]</t>
  </si>
  <si>
    <t>Max Primary Outlet Flow [scfh]</t>
  </si>
  <si>
    <t>TankBattery.json</t>
  </si>
  <si>
    <t>TBW</t>
  </si>
  <si>
    <t>Air</t>
  </si>
  <si>
    <t>Water Tank</t>
  </si>
  <si>
    <t>TBC</t>
  </si>
  <si>
    <t>Condensate Tank</t>
  </si>
  <si>
    <t>S3</t>
  </si>
  <si>
    <t>S4</t>
  </si>
  <si>
    <t>dehy_1</t>
  </si>
  <si>
    <t>Dehydrator.json</t>
  </si>
  <si>
    <t>Seal Type [Dry, Wet, Rod Packing]</t>
  </si>
  <si>
    <t>Driver Type [Turbine, 4SLB, 2SLB, 4SRB, Electric]</t>
  </si>
  <si>
    <t>Compressor Type [Centrifugal, Reciprocating, Other]</t>
  </si>
  <si>
    <t>Average Loading</t>
  </si>
  <si>
    <t>Std Loading</t>
  </si>
  <si>
    <t>Operating Fraction</t>
  </si>
  <si>
    <t>NOP Fraction of NOP/NOD</t>
  </si>
  <si>
    <t>Starter Type [Gas, Electric, Air]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</si>
  <si>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</si>
  <si>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</si>
  <si>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</si>
  <si>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</si>
  <si>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</si>
  <si>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MTTRMin [days]</t>
  </si>
  <si>
    <t>Blowdown Vent MTTRMax [days]</t>
  </si>
  <si>
    <t>Blowdown Vent pLeak</t>
  </si>
  <si>
    <t>Single Unit Vents [TRUE, FALSE]</t>
  </si>
  <si>
    <t>Common Single-Unit Vent Component Count</t>
  </si>
  <si>
    <t>Common Single-Unit Vent MTTR Min [days]</t>
  </si>
  <si>
    <t>Common Single-Unit Vent MTTR Max [days]</t>
  </si>
  <si>
    <t>Common Single-Unit Vent pLeak</t>
  </si>
  <si>
    <t>Seal Vent Component Count</t>
  </si>
  <si>
    <t>Seal Vent MTTR Min [days]</t>
  </si>
  <si>
    <t>Seal Vent MTTR Max [days]</t>
  </si>
  <si>
    <t>Seal Vent pLeak</t>
  </si>
  <si>
    <t>Seal Vent(Large Emitter) Component Count</t>
  </si>
  <si>
    <t>Seal Vent(Large Emitter) MTTR Min [days]</t>
  </si>
  <si>
    <t>Seal Vent(Large Emitter) MTTR Max [days]</t>
  </si>
  <si>
    <t>Seal Vent(Large Emitter) pLeak</t>
  </si>
  <si>
    <t>Compressor Starter Vent Component Count</t>
  </si>
  <si>
    <t>Compressor Starter Vent MTTR Min [days]</t>
  </si>
  <si>
    <t>Compressor Starter Vent MTTR Max [days]</t>
  </si>
  <si>
    <t>Compressor Starter Vent pLeak</t>
  </si>
  <si>
    <t>Common Single-unit Vent(Large Emitter) Component Count</t>
  </si>
  <si>
    <t>Common Single-unit Vent(Large Emitter) MTTR Min [days]</t>
  </si>
  <si>
    <t>Common Single-unit Vent(Large Emitter) MTTR Max [days]</t>
  </si>
  <si>
    <t>Common Single-unit Vent(Large Emitter) pLeak</t>
  </si>
  <si>
    <t>Combustion GC Name</t>
  </si>
  <si>
    <t>comp_1</t>
  </si>
  <si>
    <t>Dry</t>
  </si>
  <si>
    <t>Turbine</t>
  </si>
  <si>
    <t>Centrifugal</t>
  </si>
  <si>
    <t>Compressor.json</t>
  </si>
  <si>
    <t>Facility Common Vent [TRUE/FALSE]</t>
  </si>
  <si>
    <t>Common Facility Vent Component Count</t>
  </si>
  <si>
    <t>Common Facility Vent MTTR Min [days]</t>
  </si>
  <si>
    <t>Common Facility Vent MTTR Max [days]</t>
  </si>
  <si>
    <t>Common Facility Vent pLeak</t>
  </si>
  <si>
    <t>Facility Components Large Emitter [TRUE/FALSE]</t>
  </si>
  <si>
    <t>Facility Components (Large Emitter) MTTR Min [days]</t>
  </si>
  <si>
    <t>Facility Components (Large Emitter) MTTR Max [days]</t>
  </si>
  <si>
    <t>Facility Components (Large Emitter) pLeak</t>
  </si>
  <si>
    <t>Facility Vent (Large Emitter) MTTR Min [days]</t>
  </si>
  <si>
    <t>Facility Vent (Large Emitter) MTTR Max [days]</t>
  </si>
  <si>
    <t>Facility Vent (Large Emitter) pLeak</t>
  </si>
  <si>
    <t>wellpad_1</t>
  </si>
  <si>
    <t>MiscWellpad.json</t>
  </si>
  <si>
    <t>Wet</t>
  </si>
  <si>
    <t>VRU1</t>
  </si>
  <si>
    <t>pMalfunction</t>
  </si>
  <si>
    <t>Malfunction Duration min [days]</t>
  </si>
  <si>
    <t>Malfunction Duration max [days]</t>
  </si>
  <si>
    <t>Malfunction Destruction Efficiency</t>
  </si>
  <si>
    <t>pUnlit</t>
  </si>
  <si>
    <t>Unlit Duration min [days]</t>
  </si>
  <si>
    <t>Unlit Duration max [days]</t>
  </si>
  <si>
    <t>Unlit Destruction Efficiency</t>
  </si>
  <si>
    <t>Operating Duration min [days]</t>
  </si>
  <si>
    <t>Operating Duration max [days]</t>
  </si>
  <si>
    <t>Operating Destruction Efficiency</t>
  </si>
  <si>
    <t>flare_1</t>
  </si>
  <si>
    <t>Flare.json</t>
  </si>
  <si>
    <t>tank_flash</t>
  </si>
  <si>
    <t>tank_gas_outlet</t>
  </si>
  <si>
    <t>water_gas_sales</t>
  </si>
  <si>
    <t>condensate_gas_sales</t>
  </si>
  <si>
    <t>gas_sales</t>
  </si>
  <si>
    <t>ContinuousSeparators</t>
  </si>
  <si>
    <t>TankBattery</t>
  </si>
  <si>
    <t>Other</t>
  </si>
  <si>
    <t>W9</t>
  </si>
  <si>
    <t>W2</t>
  </si>
  <si>
    <t>W6</t>
  </si>
  <si>
    <t>Engine Efficiency</t>
  </si>
  <si>
    <t>Exhaust Factors</t>
  </si>
  <si>
    <t>DestEff</t>
  </si>
  <si>
    <t>Total Duration Lower Limit [Hours]</t>
  </si>
  <si>
    <t>Total Duration Upper Limit [Hours]</t>
  </si>
  <si>
    <t>Compressor Power [kW]</t>
  </si>
  <si>
    <t>wellpad</t>
  </si>
  <si>
    <t>Leak GC Name</t>
  </si>
  <si>
    <t>wellpad_sep</t>
  </si>
  <si>
    <t>wellpad_tanks</t>
  </si>
  <si>
    <t>ts_dehy</t>
  </si>
  <si>
    <t>wellpad_compressor_above500HP</t>
  </si>
  <si>
    <t>wellpad_misc</t>
  </si>
  <si>
    <t>wellpad_flare</t>
  </si>
  <si>
    <t>Leak Gas Composition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</si>
</sst>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rgb="FFC0C0C0"/>
      </patternFill>
    </fill>
    <fill>
      <patternFill patternType="solid">
        <fgColor rgb="FFC6D9F1"/>
        <bgColor rgb="FFB7DEE8"/>
      </patternFill>
    </fill>
    <fill>
      <patternFill patternType="solid">
        <fgColor rgb="FFD7E4BD"/>
        <bgColor rgb="FFC6D9F1"/>
      </patternFill>
    </fill>
    <fill>
      <patternFill patternType="solid">
        <fgColor rgb="FFB7DEE8"/>
        <bgColor rgb="FFC6D9F1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8" borderId="0" applyNumberFormat="0" applyBorder="0" applyAlignment="0" applyProtection="0"/>
  </cellStyleXfs>
  <cellXfs count="7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4" borderId="0" xfId="0" applyFill="1"/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5" borderId="0" xfId="0" applyFill="1"/>
    <xf numFmtId="0" fontId="0" fillId="6" borderId="0" xfId="0" applyFill="1"/>
    <xf numFmtId="0" fontId="1" fillId="4" borderId="1" xfId="0" applyFont="1" applyFill="1" applyBorder="1" applyAlignment="1">
      <alignment horizontal="center" vertical="center" wrapText="1"/>
    </xf>
    <xf numFmtId="0" fontId="0" fillId="7" borderId="0" xfId="0" applyFill="1"/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0" fillId="9" borderId="0" xfId="0" applyFill="1"/>
    <xf numFmtId="0" fontId="1" fillId="10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0" fillId="10" borderId="0" xfId="0" applyFill="1"/>
    <xf numFmtId="0" fontId="1" fillId="0" borderId="2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11" borderId="0" xfId="0" applyFill="1"/>
    <xf numFmtId="1" fontId="0" fillId="6" borderId="0" xfId="0" applyNumberFormat="1" applyFill="1"/>
    <xf numFmtId="0" fontId="1" fillId="3" borderId="1" xfId="0" applyFont="1" applyFill="1" applyBorder="1" applyAlignment="1">
      <alignment horizontal="center" wrapText="1"/>
    </xf>
    <xf numFmtId="0" fontId="0" fillId="3" borderId="0" xfId="0" applyFill="1" applyAlignment="1">
      <alignment horizontal="center"/>
    </xf>
    <xf numFmtId="0" fontId="1" fillId="1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0" fillId="12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3" borderId="0" xfId="0" applyFill="1"/>
    <xf numFmtId="0" fontId="0" fillId="6" borderId="0" xfId="0" applyFill="1" applyAlignment="1">
      <alignment horizontal="center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" fillId="11" borderId="4" xfId="0" applyFont="1" applyFill="1" applyBorder="1" applyAlignment="1">
      <alignment horizontal="center" vertical="center" wrapText="1"/>
    </xf>
    <xf numFmtId="0" fontId="5" fillId="11" borderId="1" xfId="1" applyFont="1" applyFill="1" applyBorder="1" applyAlignment="1">
      <alignment horizontal="center" vertical="center" wrapText="1"/>
    </xf>
    <xf numFmtId="0" fontId="5" fillId="5" borderId="1" xfId="1" applyFont="1" applyFill="1" applyBorder="1" applyAlignment="1">
      <alignment horizontal="center" vertical="center" wrapText="1"/>
    </xf>
    <xf numFmtId="0" fontId="5" fillId="17" borderId="1" xfId="1" applyFont="1" applyFill="1" applyBorder="1" applyAlignment="1">
      <alignment horizontal="center" vertical="center" wrapText="1"/>
    </xf>
    <xf numFmtId="0" fontId="1" fillId="17" borderId="1" xfId="0" applyFont="1" applyFill="1" applyBorder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9" borderId="0" xfId="0" applyFill="1"/>
    <xf numFmtId="0" fontId="0" fillId="20" borderId="0" xfId="0" applyFill="1"/>
    <xf numFmtId="0" fontId="0" fillId="21" borderId="0" xfId="0" applyFill="1"/>
    <xf numFmtId="0" fontId="2" fillId="22" borderId="1" xfId="0" applyFont="1" applyFill="1" applyBorder="1" applyAlignment="1">
      <alignment horizontal="center" vertical="center" wrapText="1"/>
    </xf>
    <xf numFmtId="0" fontId="1" fillId="22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22" borderId="0" xfId="0" applyFill="1" applyAlignment="1">
      <alignment horizontal="center"/>
    </xf>
    <xf numFmtId="0" fontId="0" fillId="22" borderId="0" xfId="0" applyFill="1"/>
    <xf numFmtId="0" fontId="0" fillId="17" borderId="0" xfId="0" applyFill="1"/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>
      <selection activeCell="B4" sqref="B4:B5"/>
    </sheetView>
  </sheetViews>
  <sheetFormatPr defaultRowHeight="15" x14ac:dyDescent="0.25"/>
  <cols>
    <col min="1" max="1" width="29.28515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10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</row>
    <row r="5" spans="1:2" x14ac:dyDescent="0.25">
      <c r="A5" t="s">
        <v>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1" sqref="D1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5</v>
      </c>
      <c r="B1" s="3" t="s">
        <v>6</v>
      </c>
      <c r="C1" s="3" t="s">
        <v>7</v>
      </c>
      <c r="D1" s="3" t="s">
        <v>245</v>
      </c>
      <c r="E1" s="3" t="s">
        <v>8</v>
      </c>
    </row>
    <row r="2" spans="1:5" x14ac:dyDescent="0.25">
      <c r="A2" t="s">
        <v>48</v>
      </c>
      <c r="B2" s="5">
        <v>0</v>
      </c>
      <c r="C2" s="5">
        <v>0</v>
      </c>
      <c r="D2" t="s">
        <v>60</v>
      </c>
      <c r="E2" t="s">
        <v>22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K2"/>
  <sheetViews>
    <sheetView workbookViewId="0">
      <selection activeCell="G18" sqref="G18"/>
    </sheetView>
  </sheetViews>
  <sheetFormatPr defaultColWidth="15.85546875" defaultRowHeight="15" x14ac:dyDescent="0.25"/>
  <cols>
    <col min="1" max="1" width="11.42578125" bestFit="1" customWidth="1"/>
    <col min="2" max="2" width="16.85546875" bestFit="1" customWidth="1"/>
    <col min="3" max="3" width="7.140625" bestFit="1" customWidth="1"/>
    <col min="4" max="4" width="8.28515625" bestFit="1" customWidth="1"/>
    <col min="5" max="5" width="9.85546875" bestFit="1" customWidth="1"/>
    <col min="6" max="6" width="13.85546875" bestFit="1" customWidth="1"/>
    <col min="7" max="7" width="10.7109375" bestFit="1" customWidth="1"/>
    <col min="8" max="8" width="14.5703125" bestFit="1" customWidth="1"/>
    <col min="9" max="9" width="8.7109375" bestFit="1" customWidth="1"/>
    <col min="10" max="10" width="19.85546875" bestFit="1" customWidth="1"/>
    <col min="11" max="11" width="59.42578125" bestFit="1" customWidth="1"/>
  </cols>
  <sheetData>
    <row r="1" spans="1:11" s="10" customFormat="1" ht="45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13" t="s">
        <v>50</v>
      </c>
      <c r="G1" s="13" t="s">
        <v>51</v>
      </c>
      <c r="H1" s="12" t="s">
        <v>52</v>
      </c>
      <c r="I1" s="7" t="s">
        <v>36</v>
      </c>
      <c r="J1" s="7" t="s">
        <v>238</v>
      </c>
      <c r="K1" s="7" t="s">
        <v>44</v>
      </c>
    </row>
    <row r="2" spans="1:11" x14ac:dyDescent="0.25">
      <c r="A2" t="s">
        <v>48</v>
      </c>
      <c r="B2" t="s">
        <v>59</v>
      </c>
      <c r="C2" t="s">
        <v>228</v>
      </c>
      <c r="D2">
        <v>0</v>
      </c>
      <c r="E2">
        <v>0</v>
      </c>
      <c r="F2" s="11">
        <v>24</v>
      </c>
      <c r="G2" s="11">
        <v>24</v>
      </c>
      <c r="H2">
        <v>500</v>
      </c>
      <c r="I2" t="s">
        <v>12</v>
      </c>
      <c r="J2" t="s">
        <v>86</v>
      </c>
      <c r="K2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098-0951-4968-9A28-3F4F92441A0D}">
  <dimension ref="A1:AK3"/>
  <sheetViews>
    <sheetView topLeftCell="R1" workbookViewId="0">
      <selection activeCell="X9" sqref="X9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" bestFit="1" customWidth="1"/>
    <col min="6" max="8" width="11.42578125" bestFit="1" customWidth="1"/>
    <col min="9" max="10" width="10.7109375" bestFit="1" customWidth="1"/>
    <col min="11" max="11" width="11.7109375" bestFit="1" customWidth="1"/>
    <col min="12" max="12" width="6.85546875" bestFit="1" customWidth="1"/>
    <col min="13" max="13" width="10.5703125" bestFit="1" customWidth="1"/>
    <col min="14" max="14" width="7.7109375" bestFit="1" customWidth="1"/>
    <col min="15" max="15" width="8.7109375" bestFit="1" customWidth="1"/>
    <col min="16" max="16" width="18.140625" bestFit="1" customWidth="1"/>
    <col min="17" max="17" width="25.5703125" bestFit="1" customWidth="1"/>
    <col min="18" max="18" width="14.28515625" customWidth="1"/>
    <col min="19" max="19" width="39.7109375" bestFit="1" customWidth="1"/>
    <col min="21" max="22" width="7.42578125" bestFit="1" customWidth="1"/>
    <col min="28" max="29" width="8.7109375" bestFit="1" customWidth="1"/>
    <col min="32" max="33" width="13.85546875" bestFit="1" customWidth="1"/>
    <col min="34" max="34" width="8.7109375" bestFit="1" customWidth="1"/>
    <col min="35" max="35" width="14.5703125" bestFit="1" customWidth="1"/>
    <col min="36" max="36" width="42.85546875" bestFit="1" customWidth="1"/>
  </cols>
  <sheetData>
    <row r="1" spans="1:37" s="10" customFormat="1" ht="9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15" t="s">
        <v>41</v>
      </c>
      <c r="G1" s="15" t="s">
        <v>10</v>
      </c>
      <c r="H1" s="15" t="s">
        <v>11</v>
      </c>
      <c r="I1" s="16" t="s">
        <v>50</v>
      </c>
      <c r="J1" s="16" t="s">
        <v>51</v>
      </c>
      <c r="K1" s="7" t="s">
        <v>42</v>
      </c>
      <c r="L1" s="7" t="s">
        <v>65</v>
      </c>
      <c r="M1" s="7" t="s">
        <v>66</v>
      </c>
      <c r="N1" s="7" t="s">
        <v>67</v>
      </c>
      <c r="O1" s="21" t="s">
        <v>87</v>
      </c>
      <c r="P1" s="21" t="s">
        <v>88</v>
      </c>
      <c r="Q1" s="21" t="s">
        <v>89</v>
      </c>
      <c r="R1" s="21" t="s">
        <v>90</v>
      </c>
      <c r="S1" s="21" t="s">
        <v>91</v>
      </c>
      <c r="T1" s="21" t="s">
        <v>92</v>
      </c>
      <c r="U1" s="21" t="s">
        <v>93</v>
      </c>
      <c r="V1" s="21" t="s">
        <v>94</v>
      </c>
      <c r="W1" s="22" t="s">
        <v>95</v>
      </c>
      <c r="X1" s="22" t="s">
        <v>96</v>
      </c>
      <c r="Y1" s="22" t="s">
        <v>97</v>
      </c>
      <c r="Z1" s="22" t="s">
        <v>98</v>
      </c>
      <c r="AA1" s="22" t="s">
        <v>99</v>
      </c>
      <c r="AB1" s="22" t="s">
        <v>100</v>
      </c>
      <c r="AC1" s="22" t="s">
        <v>101</v>
      </c>
      <c r="AD1" s="22" t="s">
        <v>102</v>
      </c>
      <c r="AE1" s="22" t="s">
        <v>103</v>
      </c>
      <c r="AF1" s="22" t="s">
        <v>104</v>
      </c>
      <c r="AG1" s="22" t="s">
        <v>105</v>
      </c>
      <c r="AH1" s="7" t="s">
        <v>36</v>
      </c>
      <c r="AI1" s="7" t="s">
        <v>238</v>
      </c>
      <c r="AJ1" s="7" t="s">
        <v>44</v>
      </c>
      <c r="AK1" s="26" t="s">
        <v>68</v>
      </c>
    </row>
    <row r="2" spans="1:37" x14ac:dyDescent="0.25">
      <c r="A2" t="s">
        <v>48</v>
      </c>
      <c r="B2" t="s">
        <v>69</v>
      </c>
      <c r="C2" t="s">
        <v>70</v>
      </c>
      <c r="D2">
        <v>6.2270000000808068E-4</v>
      </c>
      <c r="E2">
        <v>3.6642000000002284E-3</v>
      </c>
      <c r="F2" s="17">
        <v>365</v>
      </c>
      <c r="G2" s="17">
        <v>20</v>
      </c>
      <c r="H2" s="17">
        <v>0.02</v>
      </c>
      <c r="I2" s="18">
        <v>24</v>
      </c>
      <c r="J2" s="18">
        <v>24</v>
      </c>
      <c r="K2" t="s">
        <v>71</v>
      </c>
      <c r="L2">
        <v>0</v>
      </c>
      <c r="M2">
        <v>1E-4</v>
      </c>
      <c r="N2">
        <v>1</v>
      </c>
      <c r="O2" s="17">
        <v>1</v>
      </c>
      <c r="P2" s="17">
        <v>0.5</v>
      </c>
      <c r="Q2" s="17">
        <v>1</v>
      </c>
      <c r="R2" s="17">
        <v>0.4</v>
      </c>
      <c r="S2" s="17" t="s">
        <v>106</v>
      </c>
      <c r="T2" s="17">
        <v>0.6</v>
      </c>
      <c r="U2" s="17">
        <v>1</v>
      </c>
      <c r="V2" s="17">
        <v>0.3</v>
      </c>
      <c r="W2" s="18" t="b">
        <v>0</v>
      </c>
      <c r="X2" s="18">
        <v>2</v>
      </c>
      <c r="Y2" s="18">
        <v>3</v>
      </c>
      <c r="Z2" s="18" t="s">
        <v>107</v>
      </c>
      <c r="AA2" s="18" t="s">
        <v>108</v>
      </c>
      <c r="AB2" s="18">
        <v>2</v>
      </c>
      <c r="AC2" s="18">
        <v>3</v>
      </c>
      <c r="AD2" s="18">
        <v>2</v>
      </c>
      <c r="AE2" s="18">
        <v>3</v>
      </c>
      <c r="AF2" s="18" t="s">
        <v>109</v>
      </c>
      <c r="AG2" s="18" t="s">
        <v>117</v>
      </c>
      <c r="AH2" t="s">
        <v>12</v>
      </c>
      <c r="AI2" t="s">
        <v>86</v>
      </c>
      <c r="AJ2" t="s">
        <v>60</v>
      </c>
      <c r="AK2" t="s">
        <v>237</v>
      </c>
    </row>
    <row r="3" spans="1:37" x14ac:dyDescent="0.25">
      <c r="A3" t="s">
        <v>48</v>
      </c>
      <c r="B3" t="s">
        <v>69</v>
      </c>
      <c r="C3" t="s">
        <v>230</v>
      </c>
      <c r="D3">
        <v>6.2270000000808068E-4</v>
      </c>
      <c r="E3">
        <v>3.6642000000002284E-3</v>
      </c>
      <c r="F3" s="17">
        <v>365</v>
      </c>
      <c r="G3" s="17">
        <v>20</v>
      </c>
      <c r="H3" s="17">
        <v>0.02</v>
      </c>
      <c r="I3" s="18">
        <v>24</v>
      </c>
      <c r="J3" s="18">
        <v>24</v>
      </c>
      <c r="K3" t="s">
        <v>71</v>
      </c>
      <c r="L3">
        <v>0</v>
      </c>
      <c r="M3">
        <v>1E-4</v>
      </c>
      <c r="N3">
        <v>1</v>
      </c>
      <c r="O3" s="17">
        <v>1</v>
      </c>
      <c r="P3" s="17">
        <v>0.5</v>
      </c>
      <c r="Q3" s="17">
        <v>1</v>
      </c>
      <c r="R3" s="17">
        <v>0.4</v>
      </c>
      <c r="S3" s="17" t="s">
        <v>106</v>
      </c>
      <c r="T3" s="17">
        <v>0.6</v>
      </c>
      <c r="U3" s="17">
        <v>1</v>
      </c>
      <c r="V3" s="17">
        <v>0.3</v>
      </c>
      <c r="W3" s="18" t="b">
        <v>0</v>
      </c>
      <c r="X3" s="18">
        <v>2</v>
      </c>
      <c r="Y3" s="18">
        <v>3</v>
      </c>
      <c r="Z3" s="18" t="s">
        <v>107</v>
      </c>
      <c r="AA3" s="18" t="s">
        <v>108</v>
      </c>
      <c r="AB3" s="18">
        <v>2</v>
      </c>
      <c r="AC3" s="18">
        <v>3</v>
      </c>
      <c r="AD3" s="18">
        <v>2</v>
      </c>
      <c r="AE3" s="18">
        <v>3</v>
      </c>
      <c r="AF3" s="18" t="s">
        <v>109</v>
      </c>
      <c r="AG3" s="18" t="s">
        <v>117</v>
      </c>
      <c r="AH3" t="s">
        <v>12</v>
      </c>
      <c r="AI3" t="s">
        <v>86</v>
      </c>
      <c r="AJ3" t="s">
        <v>60</v>
      </c>
      <c r="AK3" t="s">
        <v>237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2B23D-6B52-4FDC-92D5-5FAC1F2F0634}">
  <dimension ref="A1:AL3"/>
  <sheetViews>
    <sheetView topLeftCell="P1" workbookViewId="0">
      <selection activeCell="AL4" sqref="AL4"/>
    </sheetView>
  </sheetViews>
  <sheetFormatPr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6" width="8.7109375" bestFit="1" customWidth="1"/>
    <col min="7" max="8" width="8.42578125" bestFit="1" customWidth="1"/>
    <col min="9" max="10" width="8.5703125" bestFit="1" customWidth="1"/>
    <col min="11" max="12" width="8.7109375" bestFit="1" customWidth="1"/>
    <col min="13" max="14" width="7.42578125" bestFit="1" customWidth="1"/>
    <col min="15" max="15" width="39.7109375" bestFit="1" customWidth="1"/>
    <col min="17" max="18" width="7.42578125" bestFit="1" customWidth="1"/>
    <col min="19" max="19" width="8.28515625" bestFit="1" customWidth="1"/>
    <col min="20" max="20" width="8.42578125" bestFit="1" customWidth="1"/>
    <col min="23" max="23" width="8.5703125" bestFit="1" customWidth="1"/>
    <col min="29" max="30" width="8.7109375" bestFit="1" customWidth="1"/>
    <col min="33" max="33" width="13.85546875" bestFit="1" customWidth="1"/>
    <col min="34" max="34" width="10.7109375" bestFit="1" customWidth="1"/>
    <col min="35" max="35" width="8.7109375" bestFit="1" customWidth="1"/>
    <col min="36" max="36" width="14.5703125" bestFit="1" customWidth="1"/>
    <col min="37" max="37" width="42.85546875" bestFit="1" customWidth="1"/>
    <col min="38" max="38" width="7.5703125" bestFit="1" customWidth="1"/>
  </cols>
  <sheetData>
    <row r="1" spans="1:38" s="10" customFormat="1" ht="9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15" t="s">
        <v>41</v>
      </c>
      <c r="G1" s="15" t="s">
        <v>10</v>
      </c>
      <c r="H1" s="15" t="s">
        <v>11</v>
      </c>
      <c r="I1" s="13" t="s">
        <v>50</v>
      </c>
      <c r="J1" s="13" t="s">
        <v>51</v>
      </c>
      <c r="K1" s="21" t="s">
        <v>87</v>
      </c>
      <c r="L1" s="21" t="s">
        <v>88</v>
      </c>
      <c r="M1" s="21" t="s">
        <v>89</v>
      </c>
      <c r="N1" s="21" t="s">
        <v>90</v>
      </c>
      <c r="O1" s="21" t="s">
        <v>91</v>
      </c>
      <c r="P1" s="21" t="s">
        <v>92</v>
      </c>
      <c r="Q1" s="21" t="s">
        <v>93</v>
      </c>
      <c r="R1" s="21" t="s">
        <v>94</v>
      </c>
      <c r="S1" s="23" t="s">
        <v>111</v>
      </c>
      <c r="T1" s="23" t="s">
        <v>112</v>
      </c>
      <c r="U1" s="23" t="s">
        <v>113</v>
      </c>
      <c r="V1" s="23" t="s">
        <v>114</v>
      </c>
      <c r="W1" s="7" t="s">
        <v>42</v>
      </c>
      <c r="X1" s="22" t="s">
        <v>95</v>
      </c>
      <c r="Y1" s="22" t="s">
        <v>96</v>
      </c>
      <c r="Z1" s="22" t="s">
        <v>97</v>
      </c>
      <c r="AA1" s="22" t="s">
        <v>98</v>
      </c>
      <c r="AB1" s="22" t="s">
        <v>99</v>
      </c>
      <c r="AC1" s="22" t="s">
        <v>100</v>
      </c>
      <c r="AD1" s="22" t="s">
        <v>101</v>
      </c>
      <c r="AE1" s="22" t="s">
        <v>102</v>
      </c>
      <c r="AF1" s="22" t="s">
        <v>103</v>
      </c>
      <c r="AG1" s="22" t="s">
        <v>104</v>
      </c>
      <c r="AH1" s="21" t="s">
        <v>105</v>
      </c>
      <c r="AI1" s="7" t="s">
        <v>36</v>
      </c>
      <c r="AJ1" s="7" t="s">
        <v>238</v>
      </c>
      <c r="AK1" s="7" t="s">
        <v>44</v>
      </c>
      <c r="AL1" s="7" t="s">
        <v>68</v>
      </c>
    </row>
    <row r="2" spans="1:38" x14ac:dyDescent="0.25">
      <c r="A2" t="s">
        <v>48</v>
      </c>
      <c r="B2" t="s">
        <v>115</v>
      </c>
      <c r="C2" t="s">
        <v>53</v>
      </c>
      <c r="D2">
        <v>0</v>
      </c>
      <c r="E2">
        <v>0</v>
      </c>
      <c r="F2" s="17">
        <v>365</v>
      </c>
      <c r="G2" s="17">
        <v>10</v>
      </c>
      <c r="H2" s="17">
        <v>0.02</v>
      </c>
      <c r="I2" s="11">
        <v>24</v>
      </c>
      <c r="J2" s="11">
        <v>48</v>
      </c>
      <c r="K2" s="17">
        <v>1</v>
      </c>
      <c r="L2" s="17">
        <v>0.5</v>
      </c>
      <c r="M2" s="17">
        <v>1</v>
      </c>
      <c r="N2" s="17">
        <v>0.4</v>
      </c>
      <c r="O2" s="17" t="s">
        <v>106</v>
      </c>
      <c r="P2" s="17">
        <v>0.6</v>
      </c>
      <c r="Q2" s="17">
        <v>1</v>
      </c>
      <c r="R2" s="17">
        <v>0.3</v>
      </c>
      <c r="S2" s="24">
        <v>0.5</v>
      </c>
      <c r="T2" s="24">
        <v>60</v>
      </c>
      <c r="U2" s="24">
        <v>10</v>
      </c>
      <c r="V2" s="24">
        <v>10</v>
      </c>
      <c r="W2" t="s">
        <v>71</v>
      </c>
      <c r="X2" s="18" t="b">
        <v>1</v>
      </c>
      <c r="Y2" s="18">
        <v>2</v>
      </c>
      <c r="Z2" s="18">
        <v>3</v>
      </c>
      <c r="AA2" s="18" t="s">
        <v>107</v>
      </c>
      <c r="AB2" s="18" t="s">
        <v>116</v>
      </c>
      <c r="AC2" s="18">
        <v>2</v>
      </c>
      <c r="AD2" s="18">
        <v>3</v>
      </c>
      <c r="AE2" s="18">
        <v>2</v>
      </c>
      <c r="AF2" s="18">
        <v>3</v>
      </c>
      <c r="AG2" s="18" t="s">
        <v>109</v>
      </c>
      <c r="AH2" s="17" t="s">
        <v>110</v>
      </c>
      <c r="AI2" t="s">
        <v>12</v>
      </c>
      <c r="AJ2" t="s">
        <v>86</v>
      </c>
      <c r="AK2" t="s">
        <v>60</v>
      </c>
      <c r="AL2" t="s">
        <v>237</v>
      </c>
    </row>
    <row r="3" spans="1:38" x14ac:dyDescent="0.25">
      <c r="A3" t="s">
        <v>48</v>
      </c>
      <c r="B3" t="s">
        <v>115</v>
      </c>
      <c r="C3" t="s">
        <v>229</v>
      </c>
      <c r="D3">
        <v>0</v>
      </c>
      <c r="E3">
        <v>0</v>
      </c>
      <c r="F3" s="17">
        <v>365</v>
      </c>
      <c r="G3" s="17">
        <v>10</v>
      </c>
      <c r="H3" s="17">
        <v>0.02</v>
      </c>
      <c r="I3" s="11">
        <v>24</v>
      </c>
      <c r="J3" s="11">
        <v>48</v>
      </c>
      <c r="K3" s="17">
        <v>1</v>
      </c>
      <c r="L3" s="17">
        <v>0.5</v>
      </c>
      <c r="M3" s="17">
        <v>1</v>
      </c>
      <c r="N3" s="17">
        <v>0.4</v>
      </c>
      <c r="O3" s="17" t="s">
        <v>106</v>
      </c>
      <c r="P3" s="17">
        <v>0.6</v>
      </c>
      <c r="Q3" s="17">
        <v>1</v>
      </c>
      <c r="R3" s="17">
        <v>0.3</v>
      </c>
      <c r="S3" s="24">
        <v>0.5</v>
      </c>
      <c r="T3" s="24">
        <v>60</v>
      </c>
      <c r="U3" s="24">
        <v>10</v>
      </c>
      <c r="V3" s="24">
        <v>10</v>
      </c>
      <c r="W3" t="s">
        <v>71</v>
      </c>
      <c r="X3" s="18" t="b">
        <v>1</v>
      </c>
      <c r="Y3" s="18">
        <v>2</v>
      </c>
      <c r="Z3" s="18">
        <v>3</v>
      </c>
      <c r="AA3" s="18" t="s">
        <v>107</v>
      </c>
      <c r="AB3" s="18" t="s">
        <v>116</v>
      </c>
      <c r="AC3" s="18">
        <v>2</v>
      </c>
      <c r="AD3" s="18">
        <v>3</v>
      </c>
      <c r="AE3" s="18">
        <v>2</v>
      </c>
      <c r="AF3" s="18">
        <v>3</v>
      </c>
      <c r="AG3" s="18" t="s">
        <v>109</v>
      </c>
      <c r="AH3" s="17" t="s">
        <v>110</v>
      </c>
      <c r="AI3" t="s">
        <v>12</v>
      </c>
      <c r="AJ3" t="s">
        <v>86</v>
      </c>
      <c r="AK3" t="s">
        <v>60</v>
      </c>
      <c r="AL3" t="s">
        <v>237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"/>
  <sheetViews>
    <sheetView topLeftCell="C1" workbookViewId="0">
      <selection activeCell="N22" sqref="N22"/>
    </sheetView>
  </sheetViews>
  <sheetFormatPr defaultRowHeight="15" x14ac:dyDescent="0.25"/>
  <cols>
    <col min="1" max="1" width="11.42578125" bestFit="1" customWidth="1"/>
    <col min="2" max="2" width="13.42578125" customWidth="1"/>
    <col min="3" max="3" width="11.42578125" bestFit="1" customWidth="1"/>
    <col min="4" max="4" width="35.5703125" bestFit="1" customWidth="1"/>
    <col min="5" max="5" width="11.42578125" bestFit="1" customWidth="1"/>
    <col min="6" max="7" width="13.28515625" customWidth="1"/>
    <col min="8" max="8" width="17.140625" customWidth="1"/>
    <col min="9" max="9" width="17.28515625" customWidth="1"/>
    <col min="10" max="10" width="34.85546875" bestFit="1" customWidth="1"/>
    <col min="11" max="11" width="10.28515625" style="4" customWidth="1"/>
    <col min="12" max="12" width="7.85546875" bestFit="1" customWidth="1"/>
    <col min="13" max="13" width="11.7109375" bestFit="1" customWidth="1"/>
    <col min="14" max="14" width="24.42578125" bestFit="1" customWidth="1"/>
    <col min="15" max="15" width="19.85546875" bestFit="1" customWidth="1"/>
    <col min="16" max="16" width="7.5703125" bestFit="1" customWidth="1"/>
  </cols>
  <sheetData>
    <row r="1" spans="1:16" s="10" customFormat="1" ht="60" x14ac:dyDescent="0.25">
      <c r="A1" s="7" t="s">
        <v>5</v>
      </c>
      <c r="B1" s="7" t="s">
        <v>9</v>
      </c>
      <c r="C1" s="8" t="s">
        <v>41</v>
      </c>
      <c r="D1" s="8" t="s">
        <v>10</v>
      </c>
      <c r="E1" s="8" t="s">
        <v>11</v>
      </c>
      <c r="F1" s="19" t="s">
        <v>73</v>
      </c>
      <c r="G1" s="19" t="s">
        <v>74</v>
      </c>
      <c r="H1" s="19" t="s">
        <v>75</v>
      </c>
      <c r="I1" s="19" t="s">
        <v>76</v>
      </c>
      <c r="J1" s="19" t="s">
        <v>77</v>
      </c>
      <c r="K1" s="7" t="s">
        <v>42</v>
      </c>
      <c r="L1" s="9" t="s">
        <v>39</v>
      </c>
      <c r="M1" s="9" t="s">
        <v>37</v>
      </c>
      <c r="N1" s="7" t="s">
        <v>8</v>
      </c>
      <c r="O1" s="7" t="s">
        <v>238</v>
      </c>
      <c r="P1" s="7" t="s">
        <v>68</v>
      </c>
    </row>
    <row r="2" spans="1:16" s="2" customFormat="1" x14ac:dyDescent="0.25">
      <c r="A2" t="s">
        <v>48</v>
      </c>
      <c r="B2" t="s">
        <v>49</v>
      </c>
      <c r="C2" s="6">
        <v>365</v>
      </c>
      <c r="D2" s="6">
        <v>20</v>
      </c>
      <c r="E2" s="6">
        <v>0.02</v>
      </c>
      <c r="F2" s="11">
        <v>1</v>
      </c>
      <c r="G2" s="11">
        <v>0.1</v>
      </c>
      <c r="H2" s="11">
        <v>1</v>
      </c>
      <c r="I2" s="11">
        <v>20</v>
      </c>
      <c r="J2" s="11" t="s">
        <v>78</v>
      </c>
      <c r="K2" s="4" t="s">
        <v>71</v>
      </c>
      <c r="L2">
        <v>1</v>
      </c>
      <c r="M2" t="s">
        <v>58</v>
      </c>
      <c r="N2" t="s">
        <v>54</v>
      </c>
      <c r="O2" t="s">
        <v>86</v>
      </c>
      <c r="P2" t="s">
        <v>239</v>
      </c>
    </row>
    <row r="3" spans="1:16" s="2" customFormat="1" x14ac:dyDescent="0.25">
      <c r="A3" t="s">
        <v>48</v>
      </c>
      <c r="B3" t="s">
        <v>79</v>
      </c>
      <c r="C3" s="6">
        <v>365</v>
      </c>
      <c r="D3" s="6">
        <v>20</v>
      </c>
      <c r="E3" s="6">
        <v>0.02</v>
      </c>
      <c r="F3" s="11">
        <v>1</v>
      </c>
      <c r="G3" s="11">
        <v>0.1</v>
      </c>
      <c r="H3" s="11">
        <v>1</v>
      </c>
      <c r="I3" s="11">
        <v>20</v>
      </c>
      <c r="J3" s="11" t="s">
        <v>78</v>
      </c>
      <c r="K3" s="4" t="s">
        <v>71</v>
      </c>
      <c r="L3">
        <v>1</v>
      </c>
      <c r="M3" t="s">
        <v>80</v>
      </c>
      <c r="N3" t="s">
        <v>54</v>
      </c>
      <c r="O3" t="s">
        <v>86</v>
      </c>
      <c r="P3" t="s">
        <v>239</v>
      </c>
    </row>
  </sheetData>
  <phoneticPr fontId="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756C8-5803-419C-94AB-F11BDCA8E27F}">
  <dimension ref="A1:R3"/>
  <sheetViews>
    <sheetView workbookViewId="0">
      <selection activeCell="P17" sqref="P17"/>
    </sheetView>
  </sheetViews>
  <sheetFormatPr defaultRowHeight="15" x14ac:dyDescent="0.25"/>
  <cols>
    <col min="1" max="1" width="11.42578125" bestFit="1" customWidth="1"/>
    <col min="2" max="2" width="7.140625" bestFit="1" customWidth="1"/>
    <col min="3" max="3" width="8.7109375" bestFit="1" customWidth="1"/>
    <col min="4" max="5" width="8.42578125" bestFit="1" customWidth="1"/>
    <col min="6" max="6" width="8" bestFit="1" customWidth="1"/>
    <col min="7" max="7" width="8.140625" bestFit="1" customWidth="1"/>
    <col min="8" max="8" width="8.5703125" bestFit="1" customWidth="1"/>
    <col min="9" max="9" width="8.42578125" bestFit="1" customWidth="1"/>
    <col min="10" max="10" width="7" bestFit="1" customWidth="1"/>
    <col min="11" max="12" width="8.7109375" bestFit="1" customWidth="1"/>
    <col min="13" max="13" width="34.85546875" bestFit="1" customWidth="1"/>
    <col min="14" max="14" width="7.85546875" bestFit="1" customWidth="1"/>
    <col min="15" max="15" width="8.28515625" bestFit="1" customWidth="1"/>
    <col min="16" max="16" width="24.42578125" bestFit="1" customWidth="1"/>
    <col min="17" max="17" width="14.5703125" bestFit="1" customWidth="1"/>
    <col min="18" max="18" width="7.5703125" bestFit="1" customWidth="1"/>
  </cols>
  <sheetData>
    <row r="1" spans="1:18" s="10" customFormat="1" ht="105" x14ac:dyDescent="0.25">
      <c r="A1" s="7" t="s">
        <v>5</v>
      </c>
      <c r="B1" s="7" t="s">
        <v>9</v>
      </c>
      <c r="C1" s="8" t="s">
        <v>41</v>
      </c>
      <c r="D1" s="8" t="s">
        <v>10</v>
      </c>
      <c r="E1" s="8" t="s">
        <v>11</v>
      </c>
      <c r="F1" s="25" t="s">
        <v>118</v>
      </c>
      <c r="G1" s="25" t="s">
        <v>119</v>
      </c>
      <c r="H1" s="7" t="s">
        <v>42</v>
      </c>
      <c r="I1" s="19" t="s">
        <v>73</v>
      </c>
      <c r="J1" s="19" t="s">
        <v>74</v>
      </c>
      <c r="K1" s="19" t="s">
        <v>75</v>
      </c>
      <c r="L1" s="19" t="s">
        <v>76</v>
      </c>
      <c r="M1" s="19" t="s">
        <v>77</v>
      </c>
      <c r="N1" s="9" t="s">
        <v>39</v>
      </c>
      <c r="O1" s="9" t="s">
        <v>37</v>
      </c>
      <c r="P1" s="7" t="s">
        <v>8</v>
      </c>
      <c r="Q1" s="7" t="s">
        <v>238</v>
      </c>
      <c r="R1" s="7" t="s">
        <v>68</v>
      </c>
    </row>
    <row r="2" spans="1:18" s="2" customFormat="1" x14ac:dyDescent="0.25">
      <c r="A2" t="s">
        <v>48</v>
      </c>
      <c r="B2" t="s">
        <v>144</v>
      </c>
      <c r="C2" s="6">
        <v>365</v>
      </c>
      <c r="D2" s="6">
        <v>20</v>
      </c>
      <c r="E2" s="6">
        <v>0.02</v>
      </c>
      <c r="F2" s="27">
        <v>100</v>
      </c>
      <c r="G2" s="27">
        <v>20</v>
      </c>
      <c r="H2" s="4" t="s">
        <v>43</v>
      </c>
      <c r="I2" s="11">
        <v>1</v>
      </c>
      <c r="J2" s="11">
        <v>1E-4</v>
      </c>
      <c r="K2" s="11">
        <v>1</v>
      </c>
      <c r="L2" s="11">
        <v>1</v>
      </c>
      <c r="M2" s="11" t="s">
        <v>120</v>
      </c>
      <c r="N2">
        <v>1</v>
      </c>
      <c r="O2" t="s">
        <v>58</v>
      </c>
      <c r="P2" t="s">
        <v>121</v>
      </c>
      <c r="Q2" t="s">
        <v>86</v>
      </c>
      <c r="R2" t="s">
        <v>239</v>
      </c>
    </row>
    <row r="3" spans="1:18" s="2" customFormat="1" x14ac:dyDescent="0.25">
      <c r="A3" t="s">
        <v>48</v>
      </c>
      <c r="B3" t="s">
        <v>145</v>
      </c>
      <c r="C3" s="6">
        <v>365</v>
      </c>
      <c r="D3" s="6">
        <v>20</v>
      </c>
      <c r="E3" s="6">
        <v>0.02</v>
      </c>
      <c r="F3" s="27">
        <v>100</v>
      </c>
      <c r="G3" s="27">
        <v>20</v>
      </c>
      <c r="H3" s="4" t="s">
        <v>43</v>
      </c>
      <c r="I3" s="11">
        <v>1</v>
      </c>
      <c r="J3" s="11">
        <v>1E-4</v>
      </c>
      <c r="K3" s="11">
        <v>1</v>
      </c>
      <c r="L3" s="11">
        <v>1</v>
      </c>
      <c r="M3" s="11" t="s">
        <v>120</v>
      </c>
      <c r="N3">
        <v>1</v>
      </c>
      <c r="O3" t="s">
        <v>80</v>
      </c>
      <c r="P3" t="s">
        <v>121</v>
      </c>
      <c r="Q3" t="s">
        <v>86</v>
      </c>
      <c r="R3" t="s">
        <v>239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9120D-AD64-4649-A146-EF5F390F99A6}">
  <dimension ref="A1:Y3"/>
  <sheetViews>
    <sheetView workbookViewId="0">
      <selection activeCell="Y3" sqref="Y3"/>
    </sheetView>
  </sheetViews>
  <sheetFormatPr defaultRowHeight="15" x14ac:dyDescent="0.25"/>
  <cols>
    <col min="1" max="1" width="11.42578125" bestFit="1" customWidth="1"/>
    <col min="2" max="2" width="16" bestFit="1" customWidth="1"/>
    <col min="3" max="3" width="7.140625" bestFit="1" customWidth="1"/>
    <col min="4" max="4" width="8.5703125" bestFit="1" customWidth="1"/>
    <col min="5" max="5" width="16.28515625" bestFit="1" customWidth="1"/>
    <col min="6" max="6" width="12.7109375" customWidth="1"/>
    <col min="7" max="7" width="8.42578125" bestFit="1" customWidth="1"/>
    <col min="8" max="8" width="8.7109375" bestFit="1" customWidth="1"/>
    <col min="9" max="9" width="10" bestFit="1" customWidth="1"/>
    <col min="10" max="10" width="8.28515625" bestFit="1" customWidth="1"/>
    <col min="11" max="11" width="8.42578125" bestFit="1" customWidth="1"/>
    <col min="12" max="13" width="6.42578125" bestFit="1" customWidth="1"/>
    <col min="14" max="14" width="8" bestFit="1" customWidth="1"/>
    <col min="15" max="16" width="7.42578125" bestFit="1" customWidth="1"/>
    <col min="17" max="17" width="8" bestFit="1" customWidth="1"/>
    <col min="22" max="23" width="7.85546875" bestFit="1" customWidth="1"/>
    <col min="24" max="24" width="14.5703125" bestFit="1" customWidth="1"/>
    <col min="25" max="25" width="7.5703125" bestFit="1" customWidth="1"/>
  </cols>
  <sheetData>
    <row r="1" spans="1:25" s="2" customFormat="1" ht="120" x14ac:dyDescent="0.25">
      <c r="A1" s="7" t="s">
        <v>5</v>
      </c>
      <c r="B1" s="7" t="s">
        <v>8</v>
      </c>
      <c r="C1" s="7" t="s">
        <v>9</v>
      </c>
      <c r="D1" s="7" t="s">
        <v>42</v>
      </c>
      <c r="E1" s="7" t="s">
        <v>122</v>
      </c>
      <c r="F1" s="28" t="s">
        <v>123</v>
      </c>
      <c r="G1" s="29" t="s">
        <v>10</v>
      </c>
      <c r="H1" s="8" t="s">
        <v>41</v>
      </c>
      <c r="I1" s="8" t="s">
        <v>11</v>
      </c>
      <c r="J1" s="30" t="s">
        <v>124</v>
      </c>
      <c r="K1" s="30" t="s">
        <v>125</v>
      </c>
      <c r="L1" s="31" t="s">
        <v>126</v>
      </c>
      <c r="M1" s="31" t="s">
        <v>127</v>
      </c>
      <c r="N1" s="31" t="s">
        <v>128</v>
      </c>
      <c r="O1" s="32" t="s">
        <v>129</v>
      </c>
      <c r="P1" s="32" t="s">
        <v>130</v>
      </c>
      <c r="Q1" s="32" t="s">
        <v>131</v>
      </c>
      <c r="R1" s="22" t="s">
        <v>132</v>
      </c>
      <c r="S1" s="22" t="s">
        <v>133</v>
      </c>
      <c r="T1" s="22" t="s">
        <v>134</v>
      </c>
      <c r="U1" s="22" t="s">
        <v>135</v>
      </c>
      <c r="V1" s="22" t="s">
        <v>136</v>
      </c>
      <c r="W1" s="22" t="s">
        <v>137</v>
      </c>
      <c r="X1" s="7" t="s">
        <v>238</v>
      </c>
      <c r="Y1" s="7" t="s">
        <v>68</v>
      </c>
    </row>
    <row r="2" spans="1:25" x14ac:dyDescent="0.25">
      <c r="A2" t="s">
        <v>48</v>
      </c>
      <c r="B2" t="s">
        <v>138</v>
      </c>
      <c r="C2" s="33" t="s">
        <v>139</v>
      </c>
      <c r="D2" s="4" t="s">
        <v>140</v>
      </c>
      <c r="E2" t="s">
        <v>141</v>
      </c>
      <c r="F2" t="s">
        <v>38</v>
      </c>
      <c r="G2" s="6">
        <v>2</v>
      </c>
      <c r="H2" s="6">
        <v>365</v>
      </c>
      <c r="I2" s="6">
        <v>4.3276E-3</v>
      </c>
      <c r="J2">
        <v>2</v>
      </c>
      <c r="K2">
        <v>1</v>
      </c>
      <c r="L2" s="34">
        <v>0</v>
      </c>
      <c r="M2" s="34">
        <v>365</v>
      </c>
      <c r="N2" s="34">
        <v>0.34166999999999997</v>
      </c>
      <c r="O2" s="20">
        <v>0</v>
      </c>
      <c r="P2" s="20">
        <v>365</v>
      </c>
      <c r="Q2" s="20">
        <v>0.14960999999999999</v>
      </c>
      <c r="R2" s="18">
        <v>1</v>
      </c>
      <c r="S2" s="18">
        <v>15</v>
      </c>
      <c r="T2" s="18">
        <v>0.1</v>
      </c>
      <c r="U2" s="35">
        <v>1000</v>
      </c>
      <c r="V2" s="35">
        <v>5000</v>
      </c>
      <c r="W2" s="35">
        <v>3000</v>
      </c>
      <c r="X2" t="s">
        <v>86</v>
      </c>
      <c r="Y2" t="s">
        <v>240</v>
      </c>
    </row>
    <row r="3" spans="1:25" x14ac:dyDescent="0.25">
      <c r="A3" t="s">
        <v>48</v>
      </c>
      <c r="B3" t="s">
        <v>138</v>
      </c>
      <c r="C3" s="33" t="s">
        <v>142</v>
      </c>
      <c r="D3" s="4" t="s">
        <v>71</v>
      </c>
      <c r="E3" t="s">
        <v>143</v>
      </c>
      <c r="F3" t="s">
        <v>30</v>
      </c>
      <c r="G3" s="6">
        <v>2</v>
      </c>
      <c r="H3" s="6">
        <v>365</v>
      </c>
      <c r="I3" s="6">
        <v>4.3276E-3</v>
      </c>
      <c r="J3">
        <v>2</v>
      </c>
      <c r="K3">
        <v>1</v>
      </c>
      <c r="L3" s="34">
        <v>0</v>
      </c>
      <c r="M3" s="34">
        <v>365</v>
      </c>
      <c r="N3" s="34">
        <v>0.34166999999999997</v>
      </c>
      <c r="O3" s="20">
        <v>0</v>
      </c>
      <c r="P3" s="20">
        <v>365</v>
      </c>
      <c r="Q3" s="20">
        <v>0.14960999999999999</v>
      </c>
      <c r="R3" s="18">
        <v>1</v>
      </c>
      <c r="S3" s="18">
        <v>15</v>
      </c>
      <c r="T3" s="18">
        <v>0.1</v>
      </c>
      <c r="U3" s="35">
        <v>1000</v>
      </c>
      <c r="V3" s="35">
        <v>5000</v>
      </c>
      <c r="W3" s="35">
        <v>3000</v>
      </c>
      <c r="X3" t="s">
        <v>86</v>
      </c>
      <c r="Y3" t="s">
        <v>240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B7FC-3F13-47B2-B5D8-1A4D19549675}">
  <dimension ref="A1:I2"/>
  <sheetViews>
    <sheetView workbookViewId="0">
      <selection activeCell="Q36" sqref="Q36"/>
    </sheetView>
  </sheetViews>
  <sheetFormatPr defaultRowHeight="15" x14ac:dyDescent="0.25"/>
  <cols>
    <col min="1" max="1" width="11.42578125" bestFit="1" customWidth="1"/>
    <col min="2" max="2" width="7.42578125" bestFit="1" customWidth="1"/>
    <col min="3" max="5" width="12.28515625" customWidth="1"/>
    <col min="6" max="6" width="10.28515625" bestFit="1" customWidth="1"/>
    <col min="7" max="7" width="15.42578125" bestFit="1" customWidth="1"/>
    <col min="8" max="8" width="14.5703125" bestFit="1" customWidth="1"/>
    <col min="9" max="9" width="8" bestFit="1" customWidth="1"/>
  </cols>
  <sheetData>
    <row r="1" spans="1:9" s="2" customFormat="1" ht="61.15" customHeight="1" x14ac:dyDescent="0.25">
      <c r="A1" s="3" t="s">
        <v>5</v>
      </c>
      <c r="B1" s="3" t="s">
        <v>9</v>
      </c>
      <c r="C1" s="36" t="s">
        <v>41</v>
      </c>
      <c r="D1" s="36" t="s">
        <v>10</v>
      </c>
      <c r="E1" s="36" t="s">
        <v>11</v>
      </c>
      <c r="F1" s="3" t="s">
        <v>42</v>
      </c>
      <c r="G1" s="3" t="s">
        <v>8</v>
      </c>
      <c r="H1" s="3" t="s">
        <v>238</v>
      </c>
      <c r="I1" s="7" t="s">
        <v>68</v>
      </c>
    </row>
    <row r="2" spans="1:9" x14ac:dyDescent="0.25">
      <c r="A2" t="s">
        <v>48</v>
      </c>
      <c r="B2" t="s">
        <v>146</v>
      </c>
      <c r="C2" s="6">
        <v>365</v>
      </c>
      <c r="D2" s="37">
        <v>182</v>
      </c>
      <c r="E2" s="37">
        <v>0.02</v>
      </c>
      <c r="F2" s="4" t="s">
        <v>71</v>
      </c>
      <c r="G2" t="s">
        <v>147</v>
      </c>
      <c r="H2" t="s">
        <v>86</v>
      </c>
      <c r="I2" t="s">
        <v>241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62913-9BBE-4BDB-B635-8432BEF7D8CB}">
  <dimension ref="A1:AZ2"/>
  <sheetViews>
    <sheetView topLeftCell="AB1" workbookViewId="0">
      <selection activeCell="AY22" sqref="AY22"/>
    </sheetView>
  </sheetViews>
  <sheetFormatPr defaultRowHeight="15" x14ac:dyDescent="0.25"/>
  <cols>
    <col min="1" max="1" width="11.42578125" bestFit="1" customWidth="1"/>
    <col min="2" max="2" width="7.85546875" bestFit="1" customWidth="1"/>
    <col min="3" max="3" width="8.7109375" bestFit="1" customWidth="1"/>
    <col min="4" max="4" width="8.42578125" bestFit="1" customWidth="1"/>
    <col min="5" max="5" width="10" bestFit="1" customWidth="1"/>
    <col min="6" max="6" width="8.5703125" bestFit="1" customWidth="1"/>
    <col min="7" max="7" width="8.42578125" bestFit="1" customWidth="1"/>
    <col min="8" max="8" width="8.85546875" bestFit="1" customWidth="1"/>
    <col min="10" max="10" width="10.85546875" bestFit="1" customWidth="1"/>
    <col min="11" max="11" width="8.28515625" bestFit="1" customWidth="1"/>
    <col min="12" max="12" width="7.85546875" bestFit="1" customWidth="1"/>
    <col min="13" max="13" width="8.85546875" bestFit="1" customWidth="1"/>
    <col min="14" max="14" width="8.7109375" bestFit="1" customWidth="1"/>
    <col min="15" max="16" width="7.42578125" bestFit="1" customWidth="1"/>
    <col min="17" max="17" width="8" bestFit="1" customWidth="1"/>
    <col min="18" max="18" width="26.28515625" customWidth="1"/>
    <col min="19" max="19" width="8.85546875" bestFit="1" customWidth="1"/>
    <col min="22" max="23" width="8.42578125" bestFit="1" customWidth="1"/>
    <col min="24" max="24" width="8.85546875" bestFit="1" customWidth="1"/>
    <col min="25" max="25" width="8.42578125" bestFit="1" customWidth="1"/>
    <col min="26" max="26" width="6.85546875" bestFit="1" customWidth="1"/>
    <col min="27" max="30" width="9" bestFit="1" customWidth="1"/>
    <col min="31" max="31" width="8.42578125" bestFit="1" customWidth="1"/>
    <col min="32" max="33" width="6.42578125" bestFit="1" customWidth="1"/>
    <col min="34" max="34" width="8" bestFit="1" customWidth="1"/>
    <col min="35" max="36" width="8.5703125" bestFit="1" customWidth="1"/>
    <col min="37" max="37" width="9" bestFit="1" customWidth="1"/>
    <col min="38" max="38" width="10" bestFit="1" customWidth="1"/>
    <col min="39" max="42" width="8.85546875" bestFit="1" customWidth="1"/>
    <col min="43" max="45" width="9" bestFit="1" customWidth="1"/>
    <col min="46" max="46" width="10" bestFit="1" customWidth="1"/>
    <col min="47" max="47" width="16" bestFit="1" customWidth="1"/>
    <col min="48" max="51" width="14.5703125" bestFit="1" customWidth="1"/>
    <col min="52" max="52" width="32" bestFit="1" customWidth="1"/>
  </cols>
  <sheetData>
    <row r="1" spans="1:52" s="10" customFormat="1" ht="135" x14ac:dyDescent="0.25">
      <c r="A1" s="7" t="s">
        <v>5</v>
      </c>
      <c r="B1" s="7" t="s">
        <v>9</v>
      </c>
      <c r="C1" s="8" t="s">
        <v>41</v>
      </c>
      <c r="D1" s="8" t="s">
        <v>10</v>
      </c>
      <c r="E1" s="8" t="s">
        <v>11</v>
      </c>
      <c r="F1" s="38" t="s">
        <v>42</v>
      </c>
      <c r="G1" s="39" t="s">
        <v>148</v>
      </c>
      <c r="H1" s="7" t="s">
        <v>236</v>
      </c>
      <c r="I1" s="31" t="s">
        <v>149</v>
      </c>
      <c r="J1" s="31" t="s">
        <v>150</v>
      </c>
      <c r="K1" s="31" t="s">
        <v>151</v>
      </c>
      <c r="L1" s="31" t="s">
        <v>152</v>
      </c>
      <c r="M1" s="40" t="s">
        <v>153</v>
      </c>
      <c r="N1" s="40" t="s">
        <v>154</v>
      </c>
      <c r="O1" s="40" t="s">
        <v>234</v>
      </c>
      <c r="P1" s="40" t="s">
        <v>235</v>
      </c>
      <c r="Q1" s="7" t="s">
        <v>231</v>
      </c>
      <c r="R1" s="7" t="s">
        <v>232</v>
      </c>
      <c r="S1" s="16" t="s">
        <v>155</v>
      </c>
      <c r="T1" s="22" t="s">
        <v>156</v>
      </c>
      <c r="U1" s="22" t="s">
        <v>157</v>
      </c>
      <c r="V1" s="7" t="s">
        <v>158</v>
      </c>
      <c r="W1" s="7" t="s">
        <v>159</v>
      </c>
      <c r="X1" s="31" t="s">
        <v>160</v>
      </c>
      <c r="Y1" s="31" t="s">
        <v>161</v>
      </c>
      <c r="Z1" s="31" t="s">
        <v>162</v>
      </c>
      <c r="AA1" s="31" t="s">
        <v>163</v>
      </c>
      <c r="AB1" s="12" t="s">
        <v>164</v>
      </c>
      <c r="AC1" s="23" t="s">
        <v>165</v>
      </c>
      <c r="AD1" s="41" t="s">
        <v>166</v>
      </c>
      <c r="AE1" s="23" t="s">
        <v>167</v>
      </c>
      <c r="AF1" s="41" t="s">
        <v>168</v>
      </c>
      <c r="AG1" s="21" t="s">
        <v>169</v>
      </c>
      <c r="AH1" s="21" t="s">
        <v>170</v>
      </c>
      <c r="AI1" s="21" t="s">
        <v>171</v>
      </c>
      <c r="AJ1" s="21" t="s">
        <v>172</v>
      </c>
      <c r="AK1" s="42" t="s">
        <v>173</v>
      </c>
      <c r="AL1" s="42" t="s">
        <v>174</v>
      </c>
      <c r="AM1" s="42" t="s">
        <v>175</v>
      </c>
      <c r="AN1" s="42" t="s">
        <v>176</v>
      </c>
      <c r="AO1" s="43" t="s">
        <v>177</v>
      </c>
      <c r="AP1" s="43" t="s">
        <v>178</v>
      </c>
      <c r="AQ1" s="43" t="s">
        <v>179</v>
      </c>
      <c r="AR1" s="43" t="s">
        <v>180</v>
      </c>
      <c r="AS1" s="44" t="s">
        <v>181</v>
      </c>
      <c r="AT1" s="44" t="s">
        <v>182</v>
      </c>
      <c r="AU1" s="44" t="s">
        <v>183</v>
      </c>
      <c r="AV1" s="44" t="s">
        <v>184</v>
      </c>
      <c r="AW1" s="7" t="s">
        <v>8</v>
      </c>
      <c r="AX1" s="7" t="s">
        <v>238</v>
      </c>
      <c r="AY1" s="7" t="s">
        <v>185</v>
      </c>
      <c r="AZ1" s="7" t="s">
        <v>68</v>
      </c>
    </row>
    <row r="2" spans="1:52" x14ac:dyDescent="0.25">
      <c r="A2" t="s">
        <v>48</v>
      </c>
      <c r="B2" t="s">
        <v>186</v>
      </c>
      <c r="C2" s="6">
        <v>365</v>
      </c>
      <c r="D2" s="6">
        <v>246</v>
      </c>
      <c r="E2" s="6">
        <v>4.3276E-3</v>
      </c>
      <c r="F2" s="45" t="s">
        <v>71</v>
      </c>
      <c r="G2" s="46" t="s">
        <v>187</v>
      </c>
      <c r="H2" s="34">
        <v>37000</v>
      </c>
      <c r="I2" s="34" t="s">
        <v>188</v>
      </c>
      <c r="J2" s="47" t="s">
        <v>189</v>
      </c>
      <c r="K2" s="34">
        <v>0.9</v>
      </c>
      <c r="L2" s="34">
        <v>0.05</v>
      </c>
      <c r="M2" s="48">
        <v>0.9</v>
      </c>
      <c r="N2" s="48">
        <v>0.2</v>
      </c>
      <c r="O2" s="48">
        <f>24*21</f>
        <v>504</v>
      </c>
      <c r="P2" s="48">
        <f>24*7*6</f>
        <v>1008</v>
      </c>
      <c r="Q2">
        <v>0.35</v>
      </c>
      <c r="R2" t="s">
        <v>233</v>
      </c>
      <c r="S2" s="49" t="s">
        <v>43</v>
      </c>
      <c r="T2" s="18">
        <v>3</v>
      </c>
      <c r="U2" s="18">
        <v>0</v>
      </c>
      <c r="V2">
        <f>60*15</f>
        <v>900</v>
      </c>
      <c r="W2">
        <f>ROUND(150*600/14.7,0)</f>
        <v>6122</v>
      </c>
      <c r="X2" s="34">
        <v>1</v>
      </c>
      <c r="Y2" s="34">
        <v>0</v>
      </c>
      <c r="Z2" s="34">
        <v>182.5</v>
      </c>
      <c r="AA2" s="34">
        <v>0.21634999999999999</v>
      </c>
      <c r="AB2" t="b">
        <v>1</v>
      </c>
      <c r="AC2" s="24">
        <v>1</v>
      </c>
      <c r="AD2" s="24">
        <v>0</v>
      </c>
      <c r="AE2" s="24">
        <v>182.5</v>
      </c>
      <c r="AF2" s="24">
        <v>8.3141000000000007E-2</v>
      </c>
      <c r="AG2" s="17">
        <v>1</v>
      </c>
      <c r="AH2" s="17">
        <v>0</v>
      </c>
      <c r="AI2" s="17">
        <v>182.5</v>
      </c>
      <c r="AJ2" s="17">
        <v>0.47815999999999997</v>
      </c>
      <c r="AK2" s="50">
        <v>1</v>
      </c>
      <c r="AL2" s="50">
        <v>0</v>
      </c>
      <c r="AM2" s="50">
        <v>121.66670000000001</v>
      </c>
      <c r="AN2" s="50">
        <v>2.6738E-3</v>
      </c>
      <c r="AO2" s="51">
        <v>1</v>
      </c>
      <c r="AP2" s="51">
        <v>0</v>
      </c>
      <c r="AQ2" s="51">
        <v>182.5</v>
      </c>
      <c r="AR2" s="51">
        <v>0.11268</v>
      </c>
      <c r="AS2" s="52">
        <v>1</v>
      </c>
      <c r="AT2" s="52">
        <v>0</v>
      </c>
      <c r="AU2" s="52">
        <v>121.66670000000001</v>
      </c>
      <c r="AV2" s="52">
        <v>2.7855000000000002E-3</v>
      </c>
      <c r="AW2" t="s">
        <v>190</v>
      </c>
      <c r="AX2" t="s">
        <v>86</v>
      </c>
      <c r="AY2" t="s">
        <v>86</v>
      </c>
      <c r="AZ2" t="s">
        <v>242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FCC0A-61FD-43D4-9A28-DA4531267BBB}">
  <dimension ref="A1:U2"/>
  <sheetViews>
    <sheetView topLeftCell="E1" workbookViewId="0">
      <selection activeCell="S16" sqref="S16"/>
    </sheetView>
  </sheetViews>
  <sheetFormatPr defaultColWidth="14.85546875" defaultRowHeight="15" x14ac:dyDescent="0.25"/>
  <cols>
    <col min="1" max="1" width="11.42578125" bestFit="1" customWidth="1"/>
    <col min="2" max="2" width="10.140625" bestFit="1" customWidth="1"/>
    <col min="3" max="5" width="11.42578125" bestFit="1" customWidth="1"/>
    <col min="6" max="6" width="13.42578125" bestFit="1" customWidth="1"/>
    <col min="7" max="7" width="16.85546875" bestFit="1" customWidth="1"/>
    <col min="8" max="8" width="19.85546875" bestFit="1" customWidth="1"/>
    <col min="9" max="9" width="13.85546875" bestFit="1" customWidth="1"/>
    <col min="10" max="13" width="12" bestFit="1" customWidth="1"/>
    <col min="14" max="14" width="13.140625" bestFit="1" customWidth="1"/>
    <col min="15" max="20" width="14.28515625" bestFit="1" customWidth="1"/>
    <col min="21" max="21" width="13.28515625" bestFit="1" customWidth="1"/>
  </cols>
  <sheetData>
    <row r="1" spans="1:21" s="10" customFormat="1" ht="75" x14ac:dyDescent="0.25">
      <c r="A1" s="7" t="s">
        <v>5</v>
      </c>
      <c r="B1" s="7" t="s">
        <v>9</v>
      </c>
      <c r="C1" s="8" t="s">
        <v>41</v>
      </c>
      <c r="D1" s="8" t="s">
        <v>10</v>
      </c>
      <c r="E1" s="8" t="s">
        <v>11</v>
      </c>
      <c r="F1" s="7" t="s">
        <v>42</v>
      </c>
      <c r="G1" s="7" t="s">
        <v>8</v>
      </c>
      <c r="H1" s="7" t="s">
        <v>238</v>
      </c>
      <c r="I1" s="7" t="s">
        <v>191</v>
      </c>
      <c r="J1" s="53" t="s">
        <v>192</v>
      </c>
      <c r="K1" s="54" t="s">
        <v>193</v>
      </c>
      <c r="L1" s="54" t="s">
        <v>194</v>
      </c>
      <c r="M1" s="31" t="s">
        <v>195</v>
      </c>
      <c r="N1" s="7" t="s">
        <v>196</v>
      </c>
      <c r="O1" s="55" t="s">
        <v>197</v>
      </c>
      <c r="P1" s="55" t="s">
        <v>198</v>
      </c>
      <c r="Q1" s="21" t="s">
        <v>199</v>
      </c>
      <c r="R1" s="56" t="s">
        <v>200</v>
      </c>
      <c r="S1" s="56" t="s">
        <v>201</v>
      </c>
      <c r="T1" s="57" t="s">
        <v>202</v>
      </c>
      <c r="U1" s="7" t="s">
        <v>68</v>
      </c>
    </row>
    <row r="2" spans="1:21" x14ac:dyDescent="0.25">
      <c r="A2" t="s">
        <v>48</v>
      </c>
      <c r="B2" t="s">
        <v>203</v>
      </c>
      <c r="C2" s="58">
        <v>365</v>
      </c>
      <c r="D2" s="59">
        <v>500</v>
      </c>
      <c r="E2" s="59">
        <v>0.01</v>
      </c>
      <c r="F2" s="4" t="s">
        <v>140</v>
      </c>
      <c r="G2" t="s">
        <v>204</v>
      </c>
      <c r="H2" t="s">
        <v>86</v>
      </c>
      <c r="I2" t="b">
        <v>1</v>
      </c>
      <c r="J2" s="60">
        <v>3</v>
      </c>
      <c r="K2" s="60">
        <v>1</v>
      </c>
      <c r="L2" s="60">
        <v>5</v>
      </c>
      <c r="M2" s="60">
        <v>0.1</v>
      </c>
      <c r="N2" t="b">
        <v>1</v>
      </c>
      <c r="O2" s="61">
        <v>1</v>
      </c>
      <c r="P2" s="61">
        <v>5</v>
      </c>
      <c r="Q2" s="61">
        <v>0.1</v>
      </c>
      <c r="R2" s="62">
        <v>1</v>
      </c>
      <c r="S2" s="62">
        <v>5</v>
      </c>
      <c r="T2" s="62">
        <v>0.1</v>
      </c>
      <c r="U2" t="s">
        <v>243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95454-6D28-49B2-91C0-3FA9D7D08306}">
  <dimension ref="A1:AZ2"/>
  <sheetViews>
    <sheetView topLeftCell="AE1" workbookViewId="0">
      <selection activeCell="AW13" sqref="AW13"/>
    </sheetView>
  </sheetViews>
  <sheetFormatPr defaultRowHeight="15" x14ac:dyDescent="0.25"/>
  <cols>
    <col min="1" max="1" width="11.42578125" bestFit="1" customWidth="1"/>
    <col min="2" max="2" width="7.140625" bestFit="1" customWidth="1"/>
    <col min="3" max="3" width="8.7109375" bestFit="1" customWidth="1"/>
    <col min="4" max="5" width="8.42578125" bestFit="1" customWidth="1"/>
    <col min="6" max="6" width="8.5703125" bestFit="1" customWidth="1"/>
    <col min="7" max="7" width="8.42578125" bestFit="1" customWidth="1"/>
    <col min="8" max="8" width="8.85546875" bestFit="1" customWidth="1"/>
    <col min="10" max="10" width="10.85546875" bestFit="1" customWidth="1"/>
    <col min="11" max="11" width="8.28515625" bestFit="1" customWidth="1"/>
    <col min="12" max="12" width="7.85546875" bestFit="1" customWidth="1"/>
    <col min="13" max="13" width="8.85546875" bestFit="1" customWidth="1"/>
    <col min="14" max="14" width="8.7109375" bestFit="1" customWidth="1"/>
    <col min="15" max="16" width="7.42578125" bestFit="1" customWidth="1"/>
    <col min="17" max="17" width="8" bestFit="1" customWidth="1"/>
    <col min="18" max="19" width="8.85546875" bestFit="1" customWidth="1"/>
    <col min="22" max="23" width="8.42578125" bestFit="1" customWidth="1"/>
    <col min="24" max="24" width="8.85546875" bestFit="1" customWidth="1"/>
    <col min="25" max="25" width="8.42578125" bestFit="1" customWidth="1"/>
    <col min="26" max="26" width="6.85546875" bestFit="1" customWidth="1"/>
    <col min="27" max="30" width="9" bestFit="1" customWidth="1"/>
    <col min="31" max="31" width="8.42578125" bestFit="1" customWidth="1"/>
    <col min="32" max="33" width="6.42578125" bestFit="1" customWidth="1"/>
    <col min="34" max="34" width="8" bestFit="1" customWidth="1"/>
    <col min="35" max="36" width="8.5703125" bestFit="1" customWidth="1"/>
    <col min="37" max="37" width="9" bestFit="1" customWidth="1"/>
    <col min="38" max="38" width="10" bestFit="1" customWidth="1"/>
    <col min="39" max="42" width="8.85546875" bestFit="1" customWidth="1"/>
    <col min="43" max="45" width="9" bestFit="1" customWidth="1"/>
    <col min="46" max="46" width="10" bestFit="1" customWidth="1"/>
    <col min="47" max="47" width="16" bestFit="1" customWidth="1"/>
    <col min="48" max="48" width="14.5703125" bestFit="1" customWidth="1"/>
    <col min="49" max="49" width="20.7109375" bestFit="1" customWidth="1"/>
    <col min="50" max="50" width="32" bestFit="1" customWidth="1"/>
  </cols>
  <sheetData>
    <row r="1" spans="1:52" ht="135" x14ac:dyDescent="0.25">
      <c r="A1" s="7" t="s">
        <v>5</v>
      </c>
      <c r="B1" s="7" t="s">
        <v>9</v>
      </c>
      <c r="C1" s="8" t="s">
        <v>41</v>
      </c>
      <c r="D1" s="8" t="s">
        <v>10</v>
      </c>
      <c r="E1" s="8" t="s">
        <v>11</v>
      </c>
      <c r="F1" s="19" t="s">
        <v>42</v>
      </c>
      <c r="G1" s="13" t="s">
        <v>148</v>
      </c>
      <c r="H1" s="7" t="s">
        <v>236</v>
      </c>
      <c r="I1" s="63" t="s">
        <v>149</v>
      </c>
      <c r="J1" s="64" t="s">
        <v>150</v>
      </c>
      <c r="K1" s="63" t="s">
        <v>151</v>
      </c>
      <c r="L1" s="63" t="s">
        <v>152</v>
      </c>
      <c r="M1" s="40" t="s">
        <v>153</v>
      </c>
      <c r="N1" s="40" t="s">
        <v>154</v>
      </c>
      <c r="O1" s="40" t="s">
        <v>234</v>
      </c>
      <c r="P1" s="40" t="s">
        <v>235</v>
      </c>
      <c r="Q1" s="16" t="s">
        <v>155</v>
      </c>
      <c r="R1" s="22" t="s">
        <v>156</v>
      </c>
      <c r="S1" s="22" t="s">
        <v>157</v>
      </c>
      <c r="T1" s="7" t="s">
        <v>158</v>
      </c>
      <c r="U1" s="7" t="s">
        <v>159</v>
      </c>
      <c r="V1" s="57" t="s">
        <v>160</v>
      </c>
      <c r="W1" s="65" t="s">
        <v>161</v>
      </c>
      <c r="X1" s="65" t="s">
        <v>162</v>
      </c>
      <c r="Y1" s="65" t="s">
        <v>163</v>
      </c>
      <c r="Z1" s="7" t="s">
        <v>164</v>
      </c>
      <c r="AA1" s="66" t="s">
        <v>165</v>
      </c>
      <c r="AB1" s="31" t="s">
        <v>166</v>
      </c>
      <c r="AC1" s="31" t="s">
        <v>167</v>
      </c>
      <c r="AD1" s="66" t="s">
        <v>168</v>
      </c>
      <c r="AE1" s="21" t="s">
        <v>169</v>
      </c>
      <c r="AF1" s="15" t="s">
        <v>170</v>
      </c>
      <c r="AG1" s="21" t="s">
        <v>171</v>
      </c>
      <c r="AH1" s="15" t="s">
        <v>172</v>
      </c>
      <c r="AI1" s="42" t="s">
        <v>173</v>
      </c>
      <c r="AJ1" s="67" t="s">
        <v>174</v>
      </c>
      <c r="AK1" s="67" t="s">
        <v>175</v>
      </c>
      <c r="AL1" s="67" t="s">
        <v>176</v>
      </c>
      <c r="AM1" s="43" t="s">
        <v>177</v>
      </c>
      <c r="AN1" s="43" t="s">
        <v>178</v>
      </c>
      <c r="AO1" s="43" t="s">
        <v>179</v>
      </c>
      <c r="AP1" s="43" t="s">
        <v>180</v>
      </c>
      <c r="AQ1" s="44" t="s">
        <v>181</v>
      </c>
      <c r="AR1" s="68" t="s">
        <v>182</v>
      </c>
      <c r="AS1" s="68" t="s">
        <v>183</v>
      </c>
      <c r="AT1" s="68" t="s">
        <v>184</v>
      </c>
      <c r="AU1" s="7" t="s">
        <v>8</v>
      </c>
      <c r="AV1" s="12" t="s">
        <v>238</v>
      </c>
      <c r="AW1" s="69" t="s">
        <v>185</v>
      </c>
      <c r="AX1" s="7" t="s">
        <v>68</v>
      </c>
      <c r="AY1" s="7" t="s">
        <v>231</v>
      </c>
      <c r="AZ1" s="7" t="s">
        <v>232</v>
      </c>
    </row>
    <row r="2" spans="1:52" x14ac:dyDescent="0.25">
      <c r="A2" t="s">
        <v>48</v>
      </c>
      <c r="B2" t="s">
        <v>206</v>
      </c>
      <c r="C2" s="6">
        <v>365</v>
      </c>
      <c r="D2" s="6">
        <v>400</v>
      </c>
      <c r="E2" s="6">
        <v>0.02</v>
      </c>
      <c r="F2" s="70" t="s">
        <v>140</v>
      </c>
      <c r="G2" s="11" t="s">
        <v>205</v>
      </c>
      <c r="H2" s="71">
        <v>735</v>
      </c>
      <c r="I2" s="72" t="s">
        <v>188</v>
      </c>
      <c r="J2" s="71" t="s">
        <v>189</v>
      </c>
      <c r="K2" s="72">
        <v>0.9</v>
      </c>
      <c r="L2" s="72">
        <v>0.05</v>
      </c>
      <c r="M2" s="48">
        <v>0.9</v>
      </c>
      <c r="N2" s="48">
        <v>0</v>
      </c>
      <c r="O2" s="48">
        <f>24*21</f>
        <v>504</v>
      </c>
      <c r="P2" s="48">
        <f>24*7*6</f>
        <v>1008</v>
      </c>
      <c r="Q2" s="49" t="s">
        <v>43</v>
      </c>
      <c r="R2" s="18">
        <v>3</v>
      </c>
      <c r="S2" s="18">
        <v>0</v>
      </c>
      <c r="T2">
        <f>60*15</f>
        <v>900</v>
      </c>
      <c r="U2">
        <f>ROUND(150*600/14.7,0)</f>
        <v>6122</v>
      </c>
      <c r="V2" s="73">
        <v>1</v>
      </c>
      <c r="W2" s="73">
        <v>0</v>
      </c>
      <c r="X2" s="73">
        <v>182.5</v>
      </c>
      <c r="Y2" s="73">
        <v>0.21634999999999999</v>
      </c>
      <c r="Z2" t="b">
        <v>1</v>
      </c>
      <c r="AA2" s="34">
        <v>1</v>
      </c>
      <c r="AB2" s="34">
        <v>0</v>
      </c>
      <c r="AC2" s="34">
        <v>182.5</v>
      </c>
      <c r="AD2" s="34">
        <v>8.3141000000000007E-2</v>
      </c>
      <c r="AE2" s="17">
        <v>1</v>
      </c>
      <c r="AF2" s="17">
        <v>0</v>
      </c>
      <c r="AG2" s="17">
        <v>182.5</v>
      </c>
      <c r="AH2" s="17">
        <v>0.47815999999999997</v>
      </c>
      <c r="AI2" s="50">
        <v>1</v>
      </c>
      <c r="AJ2" s="50">
        <v>0</v>
      </c>
      <c r="AK2" s="50">
        <v>121.66670000000001</v>
      </c>
      <c r="AL2" s="50">
        <v>2.6738E-3</v>
      </c>
      <c r="AM2" s="51">
        <v>1</v>
      </c>
      <c r="AN2" s="51">
        <v>0</v>
      </c>
      <c r="AO2" s="51">
        <v>182.5</v>
      </c>
      <c r="AP2" s="51">
        <v>0.11268</v>
      </c>
      <c r="AQ2" s="52">
        <v>1</v>
      </c>
      <c r="AR2" s="52">
        <v>0</v>
      </c>
      <c r="AS2" s="52">
        <v>121.66670000000001</v>
      </c>
      <c r="AT2" s="52">
        <v>2.7855000000000002E-3</v>
      </c>
      <c r="AU2" t="s">
        <v>190</v>
      </c>
      <c r="AV2" t="s">
        <v>86</v>
      </c>
      <c r="AW2" t="s">
        <v>86</v>
      </c>
      <c r="AX2" t="s">
        <v>242</v>
      </c>
      <c r="AY2">
        <v>0.35</v>
      </c>
      <c r="AZ2" t="s">
        <v>233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59C12-E1AB-4093-86AF-2BC413E0F3F4}">
  <dimension ref="A1:S2"/>
  <sheetViews>
    <sheetView workbookViewId="0">
      <selection activeCell="I7" sqref="I7"/>
    </sheetView>
  </sheetViews>
  <sheetFormatPr defaultRowHeight="15" x14ac:dyDescent="0.25"/>
  <cols>
    <col min="1" max="1" width="11.42578125" bestFit="1" customWidth="1"/>
    <col min="2" max="2" width="7.140625" bestFit="1" customWidth="1"/>
    <col min="3" max="3" width="8.42578125" bestFit="1" customWidth="1"/>
    <col min="4" max="4" width="8.7109375" bestFit="1" customWidth="1"/>
    <col min="5" max="5" width="8.42578125" bestFit="1" customWidth="1"/>
    <col min="6" max="19" width="13.85546875" customWidth="1"/>
  </cols>
  <sheetData>
    <row r="1" spans="1:19" s="10" customFormat="1" ht="75" x14ac:dyDescent="0.25">
      <c r="A1" s="7" t="s">
        <v>5</v>
      </c>
      <c r="B1" s="7" t="s">
        <v>9</v>
      </c>
      <c r="C1" s="8" t="s">
        <v>10</v>
      </c>
      <c r="D1" s="8" t="s">
        <v>41</v>
      </c>
      <c r="E1" s="8" t="s">
        <v>11</v>
      </c>
      <c r="F1" s="7" t="s">
        <v>207</v>
      </c>
      <c r="G1" s="7" t="s">
        <v>208</v>
      </c>
      <c r="H1" s="7" t="s">
        <v>209</v>
      </c>
      <c r="I1" s="7" t="s">
        <v>210</v>
      </c>
      <c r="J1" s="7" t="s">
        <v>211</v>
      </c>
      <c r="K1" s="7" t="s">
        <v>212</v>
      </c>
      <c r="L1" s="7" t="s">
        <v>213</v>
      </c>
      <c r="M1" s="7" t="s">
        <v>214</v>
      </c>
      <c r="N1" s="7" t="s">
        <v>215</v>
      </c>
      <c r="O1" s="7" t="s">
        <v>216</v>
      </c>
      <c r="P1" s="7" t="s">
        <v>217</v>
      </c>
      <c r="Q1" s="7" t="s">
        <v>8</v>
      </c>
      <c r="R1" s="7" t="s">
        <v>238</v>
      </c>
      <c r="S1" s="7" t="s">
        <v>68</v>
      </c>
    </row>
    <row r="2" spans="1:19" x14ac:dyDescent="0.25">
      <c r="A2" t="s">
        <v>48</v>
      </c>
      <c r="B2" t="s">
        <v>218</v>
      </c>
      <c r="C2" s="6">
        <v>0</v>
      </c>
      <c r="D2" s="6">
        <v>365</v>
      </c>
      <c r="E2" s="6">
        <v>1E-4</v>
      </c>
      <c r="F2">
        <v>0.75</v>
      </c>
      <c r="G2">
        <v>1</v>
      </c>
      <c r="H2">
        <v>7</v>
      </c>
      <c r="I2">
        <v>0.9</v>
      </c>
      <c r="J2">
        <v>0.25</v>
      </c>
      <c r="K2">
        <v>8.3000000000000004E-2</v>
      </c>
      <c r="L2">
        <v>2</v>
      </c>
      <c r="M2">
        <v>0</v>
      </c>
      <c r="N2">
        <v>90</v>
      </c>
      <c r="O2">
        <v>360</v>
      </c>
      <c r="P2">
        <v>0.98</v>
      </c>
      <c r="Q2" t="s">
        <v>219</v>
      </c>
      <c r="R2" t="s">
        <v>86</v>
      </c>
      <c r="S2" t="s">
        <v>244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4"/>
  <sheetViews>
    <sheetView workbookViewId="0">
      <selection activeCell="N16" sqref="N16"/>
    </sheetView>
  </sheetViews>
  <sheetFormatPr defaultRowHeight="15" x14ac:dyDescent="0.25"/>
  <cols>
    <col min="1" max="1" width="10.5703125" bestFit="1" customWidth="1"/>
    <col min="2" max="2" width="11.42578125" bestFit="1" customWidth="1"/>
    <col min="3" max="3" width="8.85546875" bestFit="1" customWidth="1"/>
  </cols>
  <sheetData>
    <row r="1" spans="1:3" x14ac:dyDescent="0.25">
      <c r="A1" s="14" t="s">
        <v>8</v>
      </c>
      <c r="B1" s="7" t="s">
        <v>5</v>
      </c>
      <c r="C1" s="7" t="s">
        <v>9</v>
      </c>
    </row>
    <row r="2" spans="1:3" x14ac:dyDescent="0.25">
      <c r="A2" t="s">
        <v>56</v>
      </c>
      <c r="B2" t="s">
        <v>48</v>
      </c>
      <c r="C2" t="s">
        <v>62</v>
      </c>
    </row>
    <row r="3" spans="1:3" x14ac:dyDescent="0.25">
      <c r="A3" t="s">
        <v>56</v>
      </c>
      <c r="B3" t="s">
        <v>48</v>
      </c>
      <c r="C3" t="s">
        <v>63</v>
      </c>
    </row>
    <row r="4" spans="1:3" x14ac:dyDescent="0.25">
      <c r="A4" t="s">
        <v>56</v>
      </c>
      <c r="B4" t="s">
        <v>48</v>
      </c>
      <c r="C4" t="s">
        <v>64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31"/>
  <sheetViews>
    <sheetView topLeftCell="A7" workbookViewId="0">
      <selection activeCell="H21" sqref="H21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85546875" bestFit="1" customWidth="1"/>
  </cols>
  <sheetData>
    <row r="1" spans="1:7" x14ac:dyDescent="0.25">
      <c r="A1" s="1" t="s">
        <v>8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</row>
    <row r="2" spans="1:7" x14ac:dyDescent="0.25">
      <c r="A2" t="s">
        <v>31</v>
      </c>
      <c r="B2" t="s">
        <v>48</v>
      </c>
      <c r="C2" t="s">
        <v>70</v>
      </c>
      <c r="D2" t="s">
        <v>48</v>
      </c>
      <c r="E2" t="s">
        <v>49</v>
      </c>
      <c r="F2" t="s">
        <v>30</v>
      </c>
    </row>
    <row r="3" spans="1:7" x14ac:dyDescent="0.25">
      <c r="A3" t="s">
        <v>31</v>
      </c>
      <c r="B3" t="s">
        <v>48</v>
      </c>
      <c r="C3" t="s">
        <v>70</v>
      </c>
      <c r="D3" t="s">
        <v>48</v>
      </c>
      <c r="E3" t="s">
        <v>49</v>
      </c>
      <c r="F3" t="s">
        <v>38</v>
      </c>
    </row>
    <row r="4" spans="1:7" x14ac:dyDescent="0.25">
      <c r="A4" t="s">
        <v>31</v>
      </c>
      <c r="B4" t="s">
        <v>48</v>
      </c>
      <c r="C4" t="s">
        <v>230</v>
      </c>
      <c r="D4" t="s">
        <v>48</v>
      </c>
      <c r="E4" t="s">
        <v>49</v>
      </c>
      <c r="F4" t="s">
        <v>30</v>
      </c>
    </row>
    <row r="5" spans="1:7" x14ac:dyDescent="0.25">
      <c r="A5" t="s">
        <v>31</v>
      </c>
      <c r="B5" t="s">
        <v>48</v>
      </c>
      <c r="C5" t="s">
        <v>230</v>
      </c>
      <c r="D5" t="s">
        <v>48</v>
      </c>
      <c r="E5" t="s">
        <v>49</v>
      </c>
      <c r="F5" t="s">
        <v>38</v>
      </c>
    </row>
    <row r="7" spans="1:7" x14ac:dyDescent="0.25">
      <c r="A7" s="20" t="s">
        <v>31</v>
      </c>
      <c r="B7" s="20" t="s">
        <v>48</v>
      </c>
      <c r="C7" s="20" t="s">
        <v>49</v>
      </c>
      <c r="D7" s="20" t="s">
        <v>48</v>
      </c>
      <c r="E7" s="20" t="s">
        <v>79</v>
      </c>
      <c r="F7" s="20" t="s">
        <v>30</v>
      </c>
      <c r="G7" s="20" t="s">
        <v>81</v>
      </c>
    </row>
    <row r="8" spans="1:7" x14ac:dyDescent="0.25">
      <c r="A8" s="20" t="s">
        <v>31</v>
      </c>
      <c r="B8" s="20" t="s">
        <v>48</v>
      </c>
      <c r="C8" s="20" t="s">
        <v>49</v>
      </c>
      <c r="D8" s="20" t="s">
        <v>48</v>
      </c>
      <c r="E8" s="20" t="s">
        <v>79</v>
      </c>
      <c r="F8" s="20" t="s">
        <v>38</v>
      </c>
      <c r="G8" s="20" t="s">
        <v>82</v>
      </c>
    </row>
    <row r="9" spans="1:7" x14ac:dyDescent="0.25">
      <c r="A9" s="20" t="s">
        <v>31</v>
      </c>
      <c r="B9" s="20" t="s">
        <v>48</v>
      </c>
      <c r="C9" s="20" t="s">
        <v>49</v>
      </c>
      <c r="D9" s="20" t="s">
        <v>48</v>
      </c>
      <c r="E9" s="20" t="s">
        <v>79</v>
      </c>
      <c r="F9" s="20" t="s">
        <v>57</v>
      </c>
      <c r="G9" s="20" t="s">
        <v>84</v>
      </c>
    </row>
    <row r="10" spans="1:7" x14ac:dyDescent="0.25">
      <c r="A10" s="20" t="s">
        <v>31</v>
      </c>
      <c r="B10" s="20" t="s">
        <v>48</v>
      </c>
      <c r="C10" s="20" t="s">
        <v>49</v>
      </c>
      <c r="D10" s="20" t="s">
        <v>48</v>
      </c>
      <c r="E10" s="20" t="s">
        <v>79</v>
      </c>
      <c r="F10" s="20" t="s">
        <v>57</v>
      </c>
      <c r="G10" s="20" t="s">
        <v>85</v>
      </c>
    </row>
    <row r="11" spans="1:7" x14ac:dyDescent="0.25">
      <c r="A11" s="20" t="s">
        <v>31</v>
      </c>
      <c r="B11" s="20" t="s">
        <v>48</v>
      </c>
      <c r="C11" s="20" t="s">
        <v>49</v>
      </c>
      <c r="D11" s="20" t="s">
        <v>48</v>
      </c>
      <c r="E11" s="20" t="s">
        <v>206</v>
      </c>
      <c r="F11" s="20" t="s">
        <v>57</v>
      </c>
      <c r="G11" s="20" t="s">
        <v>222</v>
      </c>
    </row>
    <row r="12" spans="1:7" x14ac:dyDescent="0.25">
      <c r="A12" s="20" t="s">
        <v>31</v>
      </c>
      <c r="B12" s="20" t="s">
        <v>48</v>
      </c>
      <c r="C12" s="20" t="s">
        <v>49</v>
      </c>
      <c r="D12" s="20" t="s">
        <v>48</v>
      </c>
      <c r="E12" s="20" t="s">
        <v>206</v>
      </c>
      <c r="F12" s="20" t="s">
        <v>57</v>
      </c>
      <c r="G12" s="20" t="s">
        <v>223</v>
      </c>
    </row>
    <row r="13" spans="1:7" x14ac:dyDescent="0.25">
      <c r="A13" s="20"/>
      <c r="B13" s="20"/>
      <c r="C13" s="20"/>
      <c r="D13" s="20"/>
      <c r="E13" s="20"/>
      <c r="F13" s="20"/>
      <c r="G13" s="20"/>
    </row>
    <row r="15" spans="1:7" x14ac:dyDescent="0.25">
      <c r="A15" s="20" t="s">
        <v>31</v>
      </c>
      <c r="B15" s="20" t="s">
        <v>48</v>
      </c>
      <c r="C15" s="20" t="s">
        <v>79</v>
      </c>
      <c r="D15" s="20" t="s">
        <v>48</v>
      </c>
      <c r="E15" s="20" t="s">
        <v>142</v>
      </c>
      <c r="F15" s="20" t="s">
        <v>30</v>
      </c>
      <c r="G15" s="20" t="s">
        <v>81</v>
      </c>
    </row>
    <row r="16" spans="1:7" x14ac:dyDescent="0.25">
      <c r="A16" s="20" t="s">
        <v>31</v>
      </c>
      <c r="B16" s="20" t="s">
        <v>48</v>
      </c>
      <c r="C16" s="20" t="s">
        <v>79</v>
      </c>
      <c r="D16" s="20" t="s">
        <v>48</v>
      </c>
      <c r="E16" s="20" t="s">
        <v>139</v>
      </c>
      <c r="F16" s="20" t="s">
        <v>38</v>
      </c>
      <c r="G16" s="20" t="s">
        <v>82</v>
      </c>
    </row>
    <row r="17" spans="1:7" x14ac:dyDescent="0.25">
      <c r="A17" s="20" t="s">
        <v>31</v>
      </c>
      <c r="B17" s="20" t="s">
        <v>48</v>
      </c>
      <c r="C17" s="20" t="s">
        <v>79</v>
      </c>
      <c r="D17" s="20" t="s">
        <v>48</v>
      </c>
      <c r="E17" s="20" t="s">
        <v>142</v>
      </c>
      <c r="F17" s="20" t="s">
        <v>57</v>
      </c>
      <c r="G17" s="20" t="s">
        <v>83</v>
      </c>
    </row>
    <row r="18" spans="1:7" x14ac:dyDescent="0.25">
      <c r="A18" s="20" t="s">
        <v>31</v>
      </c>
      <c r="B18" s="20" t="s">
        <v>48</v>
      </c>
      <c r="C18" s="20" t="s">
        <v>79</v>
      </c>
      <c r="D18" s="20" t="s">
        <v>48</v>
      </c>
      <c r="E18" s="20" t="s">
        <v>142</v>
      </c>
      <c r="F18" s="20" t="s">
        <v>57</v>
      </c>
      <c r="G18" s="20" t="s">
        <v>84</v>
      </c>
    </row>
    <row r="19" spans="1:7" x14ac:dyDescent="0.25">
      <c r="A19" s="20" t="s">
        <v>31</v>
      </c>
      <c r="B19" s="20" t="s">
        <v>48</v>
      </c>
      <c r="C19" s="20" t="s">
        <v>79</v>
      </c>
      <c r="D19" s="20" t="s">
        <v>48</v>
      </c>
      <c r="E19" s="20" t="s">
        <v>142</v>
      </c>
      <c r="F19" s="20" t="s">
        <v>57</v>
      </c>
      <c r="G19" s="20" t="s">
        <v>85</v>
      </c>
    </row>
    <row r="20" spans="1:7" x14ac:dyDescent="0.25">
      <c r="A20" s="20" t="s">
        <v>31</v>
      </c>
      <c r="B20" s="20" t="s">
        <v>48</v>
      </c>
      <c r="C20" s="20" t="s">
        <v>79</v>
      </c>
      <c r="D20" s="20" t="s">
        <v>48</v>
      </c>
      <c r="E20" s="20" t="s">
        <v>206</v>
      </c>
      <c r="F20" s="20" t="s">
        <v>57</v>
      </c>
      <c r="G20" s="20" t="s">
        <v>222</v>
      </c>
    </row>
    <row r="21" spans="1:7" x14ac:dyDescent="0.25">
      <c r="A21" s="20" t="s">
        <v>31</v>
      </c>
      <c r="B21" s="20" t="s">
        <v>48</v>
      </c>
      <c r="C21" s="20" t="s">
        <v>79</v>
      </c>
      <c r="D21" s="20" t="s">
        <v>48</v>
      </c>
      <c r="E21" s="20" t="s">
        <v>206</v>
      </c>
      <c r="F21" s="20" t="s">
        <v>57</v>
      </c>
      <c r="G21" s="20" t="s">
        <v>223</v>
      </c>
    </row>
    <row r="22" spans="1:7" x14ac:dyDescent="0.25">
      <c r="A22" s="20" t="s">
        <v>31</v>
      </c>
      <c r="B22" s="20" t="s">
        <v>48</v>
      </c>
      <c r="C22" s="20" t="s">
        <v>79</v>
      </c>
      <c r="D22" s="20" t="s">
        <v>48</v>
      </c>
      <c r="E22" s="20" t="s">
        <v>206</v>
      </c>
      <c r="F22" s="20" t="s">
        <v>57</v>
      </c>
      <c r="G22" s="20" t="s">
        <v>224</v>
      </c>
    </row>
    <row r="24" spans="1:7" x14ac:dyDescent="0.25">
      <c r="A24" s="20" t="s">
        <v>31</v>
      </c>
      <c r="B24" s="20" t="s">
        <v>48</v>
      </c>
      <c r="C24" s="20" t="s">
        <v>142</v>
      </c>
      <c r="D24" s="20" t="s">
        <v>48</v>
      </c>
      <c r="E24" s="20" t="s">
        <v>218</v>
      </c>
      <c r="F24" s="20" t="s">
        <v>57</v>
      </c>
      <c r="G24" s="20" t="s">
        <v>220</v>
      </c>
    </row>
    <row r="25" spans="1:7" x14ac:dyDescent="0.25">
      <c r="A25" s="20" t="s">
        <v>31</v>
      </c>
      <c r="B25" s="20" t="s">
        <v>48</v>
      </c>
      <c r="C25" s="20" t="s">
        <v>142</v>
      </c>
      <c r="D25" s="20" t="s">
        <v>48</v>
      </c>
      <c r="E25" s="20" t="s">
        <v>218</v>
      </c>
      <c r="F25" s="20" t="s">
        <v>57</v>
      </c>
      <c r="G25" s="20" t="s">
        <v>221</v>
      </c>
    </row>
    <row r="27" spans="1:7" x14ac:dyDescent="0.25">
      <c r="A27" t="s">
        <v>31</v>
      </c>
      <c r="B27" t="s">
        <v>48</v>
      </c>
      <c r="C27" t="s">
        <v>142</v>
      </c>
      <c r="D27" t="s">
        <v>48</v>
      </c>
      <c r="E27" t="s">
        <v>62</v>
      </c>
      <c r="F27" t="s">
        <v>30</v>
      </c>
    </row>
    <row r="28" spans="1:7" x14ac:dyDescent="0.25">
      <c r="A28" t="s">
        <v>31</v>
      </c>
      <c r="B28" t="s">
        <v>48</v>
      </c>
      <c r="C28" t="s">
        <v>139</v>
      </c>
      <c r="D28" t="s">
        <v>48</v>
      </c>
      <c r="E28" t="s">
        <v>63</v>
      </c>
      <c r="F28" t="s">
        <v>38</v>
      </c>
    </row>
    <row r="29" spans="1:7" x14ac:dyDescent="0.25">
      <c r="A29" t="s">
        <v>31</v>
      </c>
      <c r="B29" t="s">
        <v>48</v>
      </c>
      <c r="C29" t="s">
        <v>49</v>
      </c>
      <c r="D29" t="s">
        <v>48</v>
      </c>
      <c r="E29" t="s">
        <v>64</v>
      </c>
      <c r="F29" t="s">
        <v>57</v>
      </c>
    </row>
    <row r="30" spans="1:7" x14ac:dyDescent="0.25">
      <c r="A30" t="s">
        <v>31</v>
      </c>
      <c r="B30" t="s">
        <v>48</v>
      </c>
      <c r="C30" t="s">
        <v>79</v>
      </c>
      <c r="D30" t="s">
        <v>48</v>
      </c>
      <c r="E30" t="s">
        <v>64</v>
      </c>
      <c r="F30" t="s">
        <v>57</v>
      </c>
    </row>
    <row r="31" spans="1:7" x14ac:dyDescent="0.25">
      <c r="A31" t="s">
        <v>31</v>
      </c>
      <c r="B31" t="s">
        <v>48</v>
      </c>
      <c r="C31" t="s">
        <v>142</v>
      </c>
      <c r="D31" t="s">
        <v>48</v>
      </c>
      <c r="E31" t="s">
        <v>64</v>
      </c>
      <c r="F31" t="s">
        <v>57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5"/>
  <sheetViews>
    <sheetView workbookViewId="0">
      <selection activeCell="H23" sqref="H23"/>
    </sheetView>
  </sheetViews>
  <sheetFormatPr defaultRowHeight="15" x14ac:dyDescent="0.25"/>
  <cols>
    <col min="1" max="1" width="19.28515625" bestFit="1" customWidth="1"/>
    <col min="2" max="2" width="12.28515625" bestFit="1" customWidth="1"/>
    <col min="3" max="3" width="11.140625" bestFit="1" customWidth="1"/>
    <col min="4" max="4" width="86" customWidth="1"/>
  </cols>
  <sheetData>
    <row r="1" spans="1:3" x14ac:dyDescent="0.25">
      <c r="A1" t="s">
        <v>8</v>
      </c>
      <c r="B1" t="s">
        <v>33</v>
      </c>
      <c r="C1" t="s">
        <v>34</v>
      </c>
    </row>
    <row r="2" spans="1:3" x14ac:dyDescent="0.25">
      <c r="A2" t="s">
        <v>35</v>
      </c>
      <c r="B2" t="str">
        <f>"FFDump"&amp;C2</f>
        <v>FFDump500</v>
      </c>
      <c r="C2">
        <v>500</v>
      </c>
    </row>
    <row r="3" spans="1:3" x14ac:dyDescent="0.25">
      <c r="A3" t="s">
        <v>35</v>
      </c>
      <c r="B3" t="str">
        <f>"FFDump"&amp;C3</f>
        <v>FFDump600</v>
      </c>
      <c r="C3">
        <v>600</v>
      </c>
    </row>
    <row r="4" spans="1:3" x14ac:dyDescent="0.25">
      <c r="A4" t="s">
        <v>35</v>
      </c>
      <c r="B4" t="str">
        <f>"FFDump"&amp;C4</f>
        <v>FFDump601</v>
      </c>
      <c r="C4">
        <v>601</v>
      </c>
    </row>
    <row r="5" spans="1:3" x14ac:dyDescent="0.25">
      <c r="A5" t="s">
        <v>35</v>
      </c>
      <c r="B5" t="str">
        <f>"FFDump"&amp;C5</f>
        <v>FFDump590</v>
      </c>
      <c r="C5">
        <v>590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3"/>
  <sheetViews>
    <sheetView workbookViewId="0">
      <selection activeCell="K16" sqref="K16"/>
    </sheetView>
  </sheetViews>
  <sheetFormatPr defaultRowHeight="15" x14ac:dyDescent="0.25"/>
  <cols>
    <col min="1" max="2" width="20.8554687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72</v>
      </c>
      <c r="B3" t="s">
        <v>72</v>
      </c>
    </row>
    <row r="4" spans="1:2" x14ac:dyDescent="0.25">
      <c r="A4" t="s">
        <v>225</v>
      </c>
      <c r="B4" t="s">
        <v>225</v>
      </c>
    </row>
    <row r="5" spans="1:2" x14ac:dyDescent="0.25">
      <c r="A5" t="s">
        <v>226</v>
      </c>
      <c r="B5" t="s">
        <v>226</v>
      </c>
    </row>
    <row r="6" spans="1:2" x14ac:dyDescent="0.25">
      <c r="A6" t="s">
        <v>19</v>
      </c>
      <c r="B6" t="s">
        <v>19</v>
      </c>
    </row>
    <row r="7" spans="1:2" x14ac:dyDescent="0.25">
      <c r="A7" t="s">
        <v>20</v>
      </c>
      <c r="B7" t="s">
        <v>20</v>
      </c>
    </row>
    <row r="8" spans="1:2" x14ac:dyDescent="0.25">
      <c r="A8" t="s">
        <v>227</v>
      </c>
      <c r="B8" t="s">
        <v>227</v>
      </c>
    </row>
    <row r="9" spans="1:2" x14ac:dyDescent="0.25">
      <c r="A9" t="s">
        <v>46</v>
      </c>
      <c r="B9" t="s">
        <v>46</v>
      </c>
    </row>
    <row r="10" spans="1:2" x14ac:dyDescent="0.25">
      <c r="A10" t="s">
        <v>47</v>
      </c>
      <c r="B10" t="s">
        <v>47</v>
      </c>
    </row>
    <row r="11" spans="1:2" x14ac:dyDescent="0.25">
      <c r="A11" t="s">
        <v>55</v>
      </c>
      <c r="B11" t="s">
        <v>55</v>
      </c>
    </row>
    <row r="12" spans="1:2" x14ac:dyDescent="0.25">
      <c r="A12" t="s">
        <v>45</v>
      </c>
      <c r="B12" t="s">
        <v>45</v>
      </c>
    </row>
    <row r="13" spans="1:2" x14ac:dyDescent="0.25">
      <c r="A13" t="s">
        <v>23</v>
      </c>
      <c r="B13" t="s">
        <v>23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I29" sqref="I29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18</v>
      </c>
      <c r="B3" t="s">
        <v>18</v>
      </c>
    </row>
    <row r="4" spans="1:2" x14ac:dyDescent="0.25">
      <c r="A4" t="s">
        <v>40</v>
      </c>
      <c r="B4" t="s">
        <v>40</v>
      </c>
    </row>
    <row r="5" spans="1:2" x14ac:dyDescent="0.25">
      <c r="A5" t="s">
        <v>32</v>
      </c>
      <c r="B5" t="s">
        <v>32</v>
      </c>
    </row>
    <row r="6" spans="1:2" x14ac:dyDescent="0.25">
      <c r="A6" t="s">
        <v>19</v>
      </c>
      <c r="B6" t="s">
        <v>19</v>
      </c>
    </row>
    <row r="7" spans="1:2" x14ac:dyDescent="0.25">
      <c r="A7" t="s">
        <v>20</v>
      </c>
      <c r="B7" t="s">
        <v>20</v>
      </c>
    </row>
    <row r="8" spans="1:2" x14ac:dyDescent="0.25">
      <c r="A8" t="s">
        <v>13</v>
      </c>
      <c r="B8" t="s">
        <v>13</v>
      </c>
    </row>
    <row r="9" spans="1:2" x14ac:dyDescent="0.25">
      <c r="A9" t="s">
        <v>14</v>
      </c>
      <c r="B9" t="s">
        <v>14</v>
      </c>
    </row>
    <row r="10" spans="1:2" x14ac:dyDescent="0.25">
      <c r="A10" t="s">
        <v>46</v>
      </c>
      <c r="B10" t="s">
        <v>46</v>
      </c>
    </row>
    <row r="11" spans="1:2" x14ac:dyDescent="0.25">
      <c r="A11" t="s">
        <v>47</v>
      </c>
      <c r="B11" t="s">
        <v>47</v>
      </c>
    </row>
    <row r="12" spans="1:2" x14ac:dyDescent="0.25">
      <c r="A12" t="s">
        <v>21</v>
      </c>
      <c r="B12" t="s">
        <v>21</v>
      </c>
    </row>
    <row r="13" spans="1:2" x14ac:dyDescent="0.25">
      <c r="A13" t="s">
        <v>45</v>
      </c>
      <c r="B13" t="s">
        <v>45</v>
      </c>
    </row>
    <row r="14" spans="1:2" x14ac:dyDescent="0.25">
      <c r="A14" t="s">
        <v>23</v>
      </c>
      <c r="B14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Global Simulation Parameters</vt:lpstr>
      <vt:lpstr>Facilities</vt:lpstr>
      <vt:lpstr>Source</vt:lpstr>
      <vt:lpstr>ContinuousWells</vt:lpstr>
      <vt:lpstr>CyclingWells</vt:lpstr>
      <vt:lpstr>ContinuousSeparators</vt:lpstr>
      <vt:lpstr>DumpingSeparators</vt:lpstr>
      <vt:lpstr>TankBattery</vt:lpstr>
      <vt:lpstr>Dehydrators</vt:lpstr>
      <vt:lpstr>Compressors</vt:lpstr>
      <vt:lpstr>Other</vt:lpstr>
      <vt:lpstr>VRUs</vt:lpstr>
      <vt:lpstr>Flares</vt:lpstr>
      <vt:lpstr>Probes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PRAJAY</cp:lastModifiedBy>
  <dcterms:created xsi:type="dcterms:W3CDTF">2021-02-18T15:05:05Z</dcterms:created>
  <dcterms:modified xsi:type="dcterms:W3CDTF">2022-10-31T01:05:34Z</dcterms:modified>
</cp:coreProperties>
</file>