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ETEC\MEET2\input\Studies\MEET2\"/>
    </mc:Choice>
  </mc:AlternateContent>
  <xr:revisionPtr revIDLastSave="0" documentId="13_ncr:1_{2DBAAABE-B63E-4C5E-9053-E572B2352536}" xr6:coauthVersionLast="47" xr6:coauthVersionMax="47" xr10:uidLastSave="{00000000-0000-0000-0000-000000000000}"/>
  <bookViews>
    <workbookView xWindow="-120" yWindow="-120" windowWidth="29040" windowHeight="15720" tabRatio="876" xr2:uid="{00000000-000D-0000-FFFF-FFFF00000000}"/>
  </bookViews>
  <sheets>
    <sheet name="Global Simulation Parameters" sheetId="1" r:id="rId1"/>
    <sheet name="Facilities" sheetId="2" r:id="rId2"/>
    <sheet name="Source" sheetId="3" r:id="rId3"/>
    <sheet name="Tank Battery" sheetId="4" r:id="rId4"/>
    <sheet name="Probes" sheetId="5" r:id="rId5"/>
    <sheet name="FFLinks" sheetId="6" r:id="rId6"/>
    <sheet name="Debug" sheetId="7" r:id="rId7"/>
    <sheet name="Master Equipment" sheetId="8" r:id="rId8"/>
    <sheet name="MAll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" i="7" l="1"/>
  <c r="B4" i="7"/>
  <c r="B3" i="7"/>
  <c r="B2" i="7"/>
</calcChain>
</file>

<file path=xl/sharedStrings.xml><?xml version="1.0" encoding="utf-8"?>
<sst xmlns="http://schemas.openxmlformats.org/spreadsheetml/2006/main" count="159" uniqueCount="91">
  <si>
    <t>Simulation Start Date</t>
  </si>
  <si>
    <t>1/1/2021</t>
  </si>
  <si>
    <t>Simulation Duration [Days]</t>
  </si>
  <si>
    <t>Number of Monte Carlo Iterations</t>
  </si>
  <si>
    <t>input/Studies/MEET2/TestCompositionsFF.csv</t>
  </si>
  <si>
    <t>Activity / Emission Factor Name</t>
  </si>
  <si>
    <t>Facility ID</t>
  </si>
  <si>
    <t>Latitude</t>
  </si>
  <si>
    <t>Longitude</t>
  </si>
  <si>
    <t>Model ID</t>
  </si>
  <si>
    <t>facility_test</t>
  </si>
  <si>
    <t>Facility.json</t>
  </si>
  <si>
    <t>Unit ID</t>
  </si>
  <si>
    <t>Oil Production [bbl/day]</t>
  </si>
  <si>
    <t>Water Production [bbl/day]</t>
  </si>
  <si>
    <t>Gas Production [Mscf/day]</t>
  </si>
  <si>
    <t>Flow Tag</t>
  </si>
  <si>
    <t>Flow Gas Composition</t>
  </si>
  <si>
    <t>FixedSource.json</t>
  </si>
  <si>
    <t>W1</t>
  </si>
  <si>
    <t>Well</t>
  </si>
  <si>
    <t>Component Count</t>
  </si>
  <si>
    <t>Component Leak Survey Frequency [days]</t>
  </si>
  <si>
    <t>Component pLeak</t>
  </si>
  <si>
    <t>Number of Thief Hatches</t>
  </si>
  <si>
    <t>Number of Vents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</si>
  <si>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</si>
  <si>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</si>
  <si>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</si>
  <si>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</si>
  <si>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</si>
  <si>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</si>
  <si>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Overpressure Vents Large Emitter MTTR min [days]</t>
  </si>
  <si>
    <t>Overpressure Vents Large Emitter MTTR max [days]</t>
  </si>
  <si>
    <t>Overpressure Vents Large Emitter pLeak</t>
  </si>
  <si>
    <t>Overpressure Vents Large Emitter Threshold [scfh]</t>
  </si>
  <si>
    <t>Inlet Flow At Max Primary Flow [scfh]</t>
  </si>
  <si>
    <t>Max Primary Outlet Flow [scfh]</t>
  </si>
  <si>
    <t>Factor Tag</t>
  </si>
  <si>
    <t>T1</t>
  </si>
  <si>
    <t>Air</t>
  </si>
  <si>
    <t>TankBattery.json</t>
  </si>
  <si>
    <t xml:space="preserve"> </t>
  </si>
  <si>
    <t>Probe.json</t>
  </si>
  <si>
    <t>probe1</t>
  </si>
  <si>
    <t>Outlet FacilityID</t>
  </si>
  <si>
    <t>Outlet UnitID</t>
  </si>
  <si>
    <t>Inlet FacilityID</t>
  </si>
  <si>
    <t>Inlet UnitID</t>
  </si>
  <si>
    <t>Flow Name</t>
  </si>
  <si>
    <t>Flow SecondaryID</t>
  </si>
  <si>
    <t>FFLink.json</t>
  </si>
  <si>
    <t>Condensate</t>
  </si>
  <si>
    <t>Vapor</t>
  </si>
  <si>
    <t>DumpID</t>
  </si>
  <si>
    <t>Dump Time</t>
  </si>
  <si>
    <t>FFDumpService.json</t>
  </si>
  <si>
    <t>Readable Name</t>
  </si>
  <si>
    <t>Tab</t>
  </si>
  <si>
    <t>Facilities</t>
  </si>
  <si>
    <t>Source</t>
  </si>
  <si>
    <t>Tank Battery</t>
  </si>
  <si>
    <t>Probes</t>
  </si>
  <si>
    <t>FFLinks</t>
  </si>
  <si>
    <t>Debug</t>
  </si>
  <si>
    <t>Wells</t>
  </si>
  <si>
    <t>Common Headers</t>
  </si>
  <si>
    <t>Separators</t>
  </si>
  <si>
    <t>Dehydrators</t>
  </si>
  <si>
    <t>Compressors</t>
  </si>
  <si>
    <t>Yard Piping</t>
  </si>
  <si>
    <t>VRUs</t>
  </si>
  <si>
    <t>Flares</t>
  </si>
  <si>
    <t>Links</t>
  </si>
  <si>
    <t>Actuator Type [Gas, Electric, Air]</t>
  </si>
  <si>
    <t>Battery Type [Condensate Tank, Water Tank]</t>
  </si>
  <si>
    <t>Fluid [Water, Condensate]</t>
  </si>
  <si>
    <t>Condensate Tank</t>
  </si>
  <si>
    <t>Default-LeakGc</t>
  </si>
  <si>
    <t>Leak GC Name</t>
  </si>
  <si>
    <t>Leak Gas Composition</t>
  </si>
  <si>
    <t>wellpad_tanks</t>
  </si>
  <si>
    <t>Mechanistic Emissions Flag [True, False]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</si>
  <si>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</si>
  <si>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</si>
  <si>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</si>
  <si>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</si>
  <si>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</si>
  <si>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</si>
  <si>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Facility Type</t>
  </si>
  <si>
    <t>Common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</si>
</sst>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C1DA"/>
        <bgColor rgb="FFC6D9F1"/>
      </patternFill>
    </fill>
    <fill>
      <patternFill patternType="solid">
        <fgColor rgb="FF92D050"/>
        <bgColor rgb="FF969696"/>
      </patternFill>
    </fill>
    <fill>
      <patternFill patternType="solid">
        <fgColor rgb="FFB3A2C7"/>
        <bgColor rgb="FF9999FF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3" borderId="0" xfId="0" applyFill="1"/>
    <xf numFmtId="0" fontId="0" fillId="4" borderId="0" xfId="0" applyFill="1"/>
    <xf numFmtId="1" fontId="0" fillId="4" borderId="0" xfId="0" applyNumberFormat="1" applyFill="1"/>
    <xf numFmtId="0" fontId="2" fillId="0" borderId="0" xfId="0" applyFont="1"/>
    <xf numFmtId="0" fontId="1" fillId="0" borderId="1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3A2C7"/>
      <rgbColor rgb="FFFCD5B5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zoomScaleNormal="100" workbookViewId="0">
      <selection activeCell="E24" sqref="E24"/>
    </sheetView>
  </sheetViews>
  <sheetFormatPr defaultColWidth="8.7109375" defaultRowHeight="15" x14ac:dyDescent="0.25"/>
  <cols>
    <col min="1" max="1" width="29.28515625" customWidth="1"/>
    <col min="2" max="2" width="58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2</v>
      </c>
    </row>
    <row r="3" spans="1:2" x14ac:dyDescent="0.25">
      <c r="A3" t="s">
        <v>3</v>
      </c>
      <c r="B3">
        <v>2</v>
      </c>
    </row>
    <row r="4" spans="1:2" x14ac:dyDescent="0.25">
      <c r="A4" t="s">
        <v>5</v>
      </c>
    </row>
    <row r="5" spans="1:2" x14ac:dyDescent="0.25">
      <c r="A5" t="s">
        <v>89</v>
      </c>
      <c r="B5" t="s">
        <v>90</v>
      </c>
    </row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zoomScaleNormal="100" workbookViewId="0">
      <selection activeCell="D1" sqref="D1"/>
    </sheetView>
  </sheetViews>
  <sheetFormatPr defaultColWidth="8.7109375" defaultRowHeight="15" x14ac:dyDescent="0.25"/>
  <cols>
    <col min="1" max="1" width="11.42578125" customWidth="1"/>
    <col min="2" max="2" width="9.5703125" customWidth="1"/>
    <col min="3" max="3" width="9.85546875" customWidth="1"/>
    <col min="4" max="4" width="59.42578125" customWidth="1"/>
    <col min="5" max="5" width="11.5703125" customWidth="1"/>
  </cols>
  <sheetData>
    <row r="1" spans="1:5" s="2" customFormat="1" x14ac:dyDescent="0.25">
      <c r="A1" s="1" t="s">
        <v>6</v>
      </c>
      <c r="B1" s="1" t="s">
        <v>7</v>
      </c>
      <c r="C1" s="1" t="s">
        <v>8</v>
      </c>
      <c r="D1" s="1" t="s">
        <v>80</v>
      </c>
      <c r="E1" s="1" t="s">
        <v>9</v>
      </c>
    </row>
    <row r="2" spans="1:5" x14ac:dyDescent="0.25">
      <c r="A2" t="s">
        <v>10</v>
      </c>
      <c r="B2" s="3">
        <v>0</v>
      </c>
      <c r="C2" s="3">
        <v>0</v>
      </c>
      <c r="D2" t="s">
        <v>4</v>
      </c>
      <c r="E2" t="s">
        <v>11</v>
      </c>
    </row>
    <row r="3" spans="1:5" x14ac:dyDescent="0.25">
      <c r="B3" s="3"/>
      <c r="C3" s="3"/>
    </row>
    <row r="4" spans="1:5" x14ac:dyDescent="0.25">
      <c r="B4" s="3"/>
      <c r="C4" s="3"/>
    </row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"/>
  <sheetViews>
    <sheetView zoomScaleNormal="100" workbookViewId="0">
      <selection activeCell="J11" sqref="J11"/>
    </sheetView>
  </sheetViews>
  <sheetFormatPr defaultColWidth="15.85546875" defaultRowHeight="15" x14ac:dyDescent="0.25"/>
  <cols>
    <col min="1" max="1" width="11.42578125" customWidth="1"/>
    <col min="2" max="2" width="16.85546875" customWidth="1"/>
    <col min="3" max="3" width="7.140625" customWidth="1"/>
    <col min="4" max="4" width="8.28515625" customWidth="1"/>
    <col min="5" max="5" width="9.85546875" customWidth="1"/>
    <col min="6" max="6" width="13.85546875" customWidth="1"/>
    <col min="7" max="7" width="10.7109375" customWidth="1"/>
    <col min="8" max="8" width="14.5703125" customWidth="1"/>
    <col min="9" max="9" width="8.7109375" customWidth="1"/>
    <col min="10" max="10" width="19.85546875" customWidth="1"/>
    <col min="11" max="11" width="59.42578125" customWidth="1"/>
  </cols>
  <sheetData>
    <row r="1" spans="1:11" s="7" customFormat="1" ht="45" x14ac:dyDescent="0.25">
      <c r="A1" s="4" t="s">
        <v>6</v>
      </c>
      <c r="B1" s="4" t="s">
        <v>9</v>
      </c>
      <c r="C1" s="4" t="s">
        <v>12</v>
      </c>
      <c r="D1" s="4" t="s">
        <v>7</v>
      </c>
      <c r="E1" s="4" t="s">
        <v>8</v>
      </c>
      <c r="F1" s="5" t="s">
        <v>13</v>
      </c>
      <c r="G1" s="5" t="s">
        <v>14</v>
      </c>
      <c r="H1" s="6" t="s">
        <v>15</v>
      </c>
      <c r="I1" s="4" t="s">
        <v>16</v>
      </c>
      <c r="J1" s="4" t="s">
        <v>79</v>
      </c>
      <c r="K1" s="4" t="s">
        <v>17</v>
      </c>
    </row>
    <row r="2" spans="1:11" x14ac:dyDescent="0.25">
      <c r="A2" t="s">
        <v>10</v>
      </c>
      <c r="B2" t="s">
        <v>18</v>
      </c>
      <c r="C2" t="s">
        <v>19</v>
      </c>
      <c r="D2">
        <v>0</v>
      </c>
      <c r="E2">
        <v>0</v>
      </c>
      <c r="F2" s="8">
        <v>24</v>
      </c>
      <c r="G2" s="8">
        <v>0</v>
      </c>
      <c r="H2">
        <v>0</v>
      </c>
      <c r="I2" t="s">
        <v>20</v>
      </c>
      <c r="J2" t="s">
        <v>78</v>
      </c>
      <c r="K2" t="s">
        <v>4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"/>
  <sheetViews>
    <sheetView topLeftCell="E1" zoomScaleNormal="100" workbookViewId="0">
      <selection activeCell="L25" sqref="L25"/>
    </sheetView>
  </sheetViews>
  <sheetFormatPr defaultColWidth="8.7109375" defaultRowHeight="15" x14ac:dyDescent="0.25"/>
  <cols>
    <col min="1" max="1" width="11.42578125" customWidth="1"/>
    <col min="2" max="2" width="11.42578125" style="9" customWidth="1"/>
    <col min="3" max="3" width="11.7109375" style="10" customWidth="1"/>
    <col min="4" max="4" width="16.28515625" bestFit="1" customWidth="1"/>
    <col min="5" max="5" width="12.28515625" customWidth="1"/>
    <col min="6" max="17" width="13.140625" customWidth="1"/>
    <col min="18" max="18" width="14.28515625" customWidth="1"/>
    <col min="19" max="19" width="12.7109375" customWidth="1"/>
    <col min="20" max="20" width="12" customWidth="1"/>
    <col min="21" max="23" width="13.140625" customWidth="1"/>
    <col min="24" max="26" width="15.42578125" customWidth="1"/>
    <col min="27" max="27" width="17.42578125" customWidth="1"/>
    <col min="28" max="29" width="15.42578125" customWidth="1"/>
    <col min="30" max="30" width="24.28515625" customWidth="1"/>
    <col min="31" max="31" width="19.85546875" customWidth="1"/>
    <col min="32" max="32" width="14" bestFit="1" customWidth="1"/>
  </cols>
  <sheetData>
    <row r="1" spans="1:32" s="2" customFormat="1" ht="75" x14ac:dyDescent="0.25">
      <c r="A1" s="4" t="s">
        <v>6</v>
      </c>
      <c r="B1" s="4" t="s">
        <v>12</v>
      </c>
      <c r="C1" s="21" t="s">
        <v>74</v>
      </c>
      <c r="D1" s="21" t="s">
        <v>75</v>
      </c>
      <c r="E1" s="22" t="s">
        <v>76</v>
      </c>
      <c r="F1" s="11" t="s">
        <v>21</v>
      </c>
      <c r="G1" s="12" t="s">
        <v>22</v>
      </c>
      <c r="H1" s="12" t="s">
        <v>23</v>
      </c>
      <c r="I1" s="13" t="s">
        <v>24</v>
      </c>
      <c r="J1" s="13" t="s">
        <v>25</v>
      </c>
      <c r="K1" s="23" t="s">
        <v>82</v>
      </c>
      <c r="L1" s="24" t="s">
        <v>26</v>
      </c>
      <c r="M1" s="24" t="s">
        <v>27</v>
      </c>
      <c r="N1" s="24" t="s">
        <v>28</v>
      </c>
      <c r="O1" s="25" t="s">
        <v>29</v>
      </c>
      <c r="P1" s="25" t="s">
        <v>30</v>
      </c>
      <c r="Q1" s="25" t="s">
        <v>31</v>
      </c>
      <c r="R1" s="24" t="s">
        <v>83</v>
      </c>
      <c r="S1" s="24" t="s">
        <v>84</v>
      </c>
      <c r="T1" s="24" t="s">
        <v>85</v>
      </c>
      <c r="U1" s="25" t="s">
        <v>86</v>
      </c>
      <c r="V1" s="25" t="s">
        <v>87</v>
      </c>
      <c r="W1" s="25" t="s">
        <v>88</v>
      </c>
      <c r="X1" s="14" t="s">
        <v>32</v>
      </c>
      <c r="Y1" s="14" t="s">
        <v>33</v>
      </c>
      <c r="Z1" s="14" t="s">
        <v>34</v>
      </c>
      <c r="AA1" s="14" t="s">
        <v>35</v>
      </c>
      <c r="AB1" s="14" t="s">
        <v>36</v>
      </c>
      <c r="AC1" s="14" t="s">
        <v>37</v>
      </c>
      <c r="AD1" s="4" t="s">
        <v>9</v>
      </c>
      <c r="AE1" s="4" t="s">
        <v>79</v>
      </c>
      <c r="AF1" s="4" t="s">
        <v>38</v>
      </c>
    </row>
    <row r="2" spans="1:32" x14ac:dyDescent="0.25">
      <c r="A2" t="s">
        <v>10</v>
      </c>
      <c r="B2" s="9" t="s">
        <v>39</v>
      </c>
      <c r="C2" s="10" t="s">
        <v>40</v>
      </c>
      <c r="D2" t="s">
        <v>77</v>
      </c>
      <c r="E2" t="s">
        <v>52</v>
      </c>
      <c r="F2" s="15">
        <v>2</v>
      </c>
      <c r="G2" s="15">
        <v>365</v>
      </c>
      <c r="H2" s="15">
        <v>5.0000000000000001E-3</v>
      </c>
      <c r="I2">
        <v>2</v>
      </c>
      <c r="J2">
        <v>1</v>
      </c>
      <c r="K2" t="b">
        <v>1</v>
      </c>
      <c r="L2" s="26">
        <v>0</v>
      </c>
      <c r="M2" s="26">
        <v>365</v>
      </c>
      <c r="N2" s="26">
        <v>0.34166999999999997</v>
      </c>
      <c r="O2" s="27">
        <v>0</v>
      </c>
      <c r="P2" s="27">
        <v>365</v>
      </c>
      <c r="Q2" s="27">
        <v>0.14960999999999999</v>
      </c>
      <c r="R2" s="26">
        <v>3</v>
      </c>
      <c r="S2" s="26">
        <v>7</v>
      </c>
      <c r="T2" s="26">
        <v>0.34166999999999997</v>
      </c>
      <c r="U2" s="27">
        <v>7</v>
      </c>
      <c r="V2" s="27">
        <v>7</v>
      </c>
      <c r="W2" s="27">
        <v>0.14960999999999999</v>
      </c>
      <c r="X2" s="16">
        <v>15</v>
      </c>
      <c r="Y2" s="16">
        <v>15</v>
      </c>
      <c r="Z2" s="16">
        <v>0.1</v>
      </c>
      <c r="AA2" s="17">
        <v>1000</v>
      </c>
      <c r="AB2" s="17">
        <v>5000</v>
      </c>
      <c r="AC2" s="17">
        <v>3000</v>
      </c>
      <c r="AD2" t="s">
        <v>41</v>
      </c>
      <c r="AE2" t="s">
        <v>78</v>
      </c>
      <c r="AF2" t="s">
        <v>81</v>
      </c>
    </row>
    <row r="7" spans="1:32" x14ac:dyDescent="0.25">
      <c r="W7" t="s">
        <v>42</v>
      </c>
    </row>
  </sheetData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zoomScaleNormal="100" workbookViewId="0">
      <selection activeCell="I27" sqref="I27"/>
    </sheetView>
  </sheetViews>
  <sheetFormatPr defaultColWidth="8.7109375" defaultRowHeight="15" x14ac:dyDescent="0.25"/>
  <cols>
    <col min="1" max="1" width="10.5703125" customWidth="1"/>
    <col min="2" max="2" width="11.42578125" customWidth="1"/>
    <col min="3" max="3" width="7.28515625" customWidth="1"/>
  </cols>
  <sheetData>
    <row r="1" spans="1:3" x14ac:dyDescent="0.25">
      <c r="A1" s="18" t="s">
        <v>9</v>
      </c>
      <c r="B1" s="4" t="s">
        <v>6</v>
      </c>
      <c r="C1" s="4" t="s">
        <v>12</v>
      </c>
    </row>
    <row r="2" spans="1:3" x14ac:dyDescent="0.25">
      <c r="A2" t="s">
        <v>43</v>
      </c>
      <c r="B2" t="s">
        <v>10</v>
      </c>
      <c r="C2" t="s">
        <v>44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"/>
  <sheetViews>
    <sheetView zoomScaleNormal="100" workbookViewId="0">
      <selection activeCell="E27" sqref="E27"/>
    </sheetView>
  </sheetViews>
  <sheetFormatPr defaultColWidth="8.7109375" defaultRowHeight="15" x14ac:dyDescent="0.25"/>
  <cols>
    <col min="1" max="1" width="10.85546875" customWidth="1"/>
    <col min="2" max="2" width="15.42578125" customWidth="1"/>
    <col min="3" max="3" width="18.7109375" customWidth="1"/>
    <col min="4" max="4" width="13.85546875" customWidth="1"/>
    <col min="5" max="5" width="21.42578125" customWidth="1"/>
    <col min="6" max="6" width="11.5703125" customWidth="1"/>
    <col min="7" max="7" width="20.140625" customWidth="1"/>
  </cols>
  <sheetData>
    <row r="1" spans="1:7" x14ac:dyDescent="0.25">
      <c r="A1" s="19" t="s">
        <v>9</v>
      </c>
      <c r="B1" s="19" t="s">
        <v>45</v>
      </c>
      <c r="C1" s="19" t="s">
        <v>46</v>
      </c>
      <c r="D1" s="19" t="s">
        <v>47</v>
      </c>
      <c r="E1" s="19" t="s">
        <v>48</v>
      </c>
      <c r="F1" s="20" t="s">
        <v>49</v>
      </c>
      <c r="G1" s="20" t="s">
        <v>50</v>
      </c>
    </row>
    <row r="2" spans="1:7" x14ac:dyDescent="0.25">
      <c r="A2" t="s">
        <v>51</v>
      </c>
      <c r="B2" t="s">
        <v>10</v>
      </c>
      <c r="C2" t="s">
        <v>19</v>
      </c>
      <c r="D2" t="s">
        <v>10</v>
      </c>
      <c r="E2" t="s">
        <v>39</v>
      </c>
      <c r="F2" t="s">
        <v>52</v>
      </c>
    </row>
    <row r="3" spans="1:7" x14ac:dyDescent="0.25">
      <c r="A3" t="s">
        <v>51</v>
      </c>
      <c r="B3" t="s">
        <v>10</v>
      </c>
      <c r="C3" t="s">
        <v>19</v>
      </c>
      <c r="D3" t="s">
        <v>10</v>
      </c>
      <c r="E3" t="s">
        <v>39</v>
      </c>
      <c r="F3" t="s">
        <v>53</v>
      </c>
    </row>
    <row r="4" spans="1:7" x14ac:dyDescent="0.25">
      <c r="A4" t="s">
        <v>51</v>
      </c>
      <c r="B4" t="s">
        <v>10</v>
      </c>
      <c r="C4" t="s">
        <v>39</v>
      </c>
      <c r="D4" t="s">
        <v>10</v>
      </c>
      <c r="E4" t="s">
        <v>44</v>
      </c>
      <c r="F4" t="s">
        <v>52</v>
      </c>
    </row>
    <row r="5" spans="1:7" x14ac:dyDescent="0.25">
      <c r="A5" t="s">
        <v>51</v>
      </c>
      <c r="B5" t="s">
        <v>10</v>
      </c>
      <c r="C5" t="s">
        <v>39</v>
      </c>
      <c r="D5" t="s">
        <v>10</v>
      </c>
      <c r="E5" t="s">
        <v>44</v>
      </c>
      <c r="F5" t="s">
        <v>53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5"/>
  <sheetViews>
    <sheetView zoomScaleNormal="100" workbookViewId="0">
      <selection activeCell="D12" sqref="D12"/>
    </sheetView>
  </sheetViews>
  <sheetFormatPr defaultColWidth="8.7109375" defaultRowHeight="15" x14ac:dyDescent="0.25"/>
  <cols>
    <col min="1" max="1" width="19.28515625" customWidth="1"/>
    <col min="2" max="2" width="12.28515625" customWidth="1"/>
    <col min="3" max="3" width="11.140625" customWidth="1"/>
    <col min="4" max="4" width="86" customWidth="1"/>
  </cols>
  <sheetData>
    <row r="1" spans="1:3" x14ac:dyDescent="0.25">
      <c r="A1" t="s">
        <v>9</v>
      </c>
      <c r="B1" t="s">
        <v>54</v>
      </c>
      <c r="C1" t="s">
        <v>55</v>
      </c>
    </row>
    <row r="2" spans="1:3" x14ac:dyDescent="0.25">
      <c r="A2" t="s">
        <v>56</v>
      </c>
      <c r="B2" t="str">
        <f>"FFDump"&amp;C2</f>
        <v>FFDump500</v>
      </c>
      <c r="C2">
        <v>500</v>
      </c>
    </row>
    <row r="3" spans="1:3" x14ac:dyDescent="0.25">
      <c r="A3" t="s">
        <v>56</v>
      </c>
      <c r="B3" t="str">
        <f>"FFDump"&amp;C3</f>
        <v>FFDump600</v>
      </c>
      <c r="C3">
        <v>600</v>
      </c>
    </row>
    <row r="4" spans="1:3" x14ac:dyDescent="0.25">
      <c r="A4" t="s">
        <v>56</v>
      </c>
      <c r="B4" t="str">
        <f>"FFDump"&amp;C4</f>
        <v>FFDump601</v>
      </c>
      <c r="C4">
        <v>601</v>
      </c>
    </row>
    <row r="5" spans="1:3" x14ac:dyDescent="0.25">
      <c r="A5" t="s">
        <v>56</v>
      </c>
      <c r="B5" t="str">
        <f>"FFDump"&amp;C5</f>
        <v>FFDump590</v>
      </c>
      <c r="C5">
        <v>590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7"/>
  <sheetViews>
    <sheetView zoomScaleNormal="100" workbookViewId="0">
      <selection activeCell="J27" sqref="J27"/>
    </sheetView>
  </sheetViews>
  <sheetFormatPr defaultColWidth="8.7109375" defaultRowHeight="15" x14ac:dyDescent="0.25"/>
  <cols>
    <col min="1" max="2" width="19.42578125" customWidth="1"/>
  </cols>
  <sheetData>
    <row r="1" spans="1:2" x14ac:dyDescent="0.25">
      <c r="A1" s="19" t="s">
        <v>57</v>
      </c>
      <c r="B1" s="19" t="s">
        <v>58</v>
      </c>
    </row>
    <row r="2" spans="1:2" x14ac:dyDescent="0.25">
      <c r="A2" t="s">
        <v>59</v>
      </c>
      <c r="B2" t="s">
        <v>59</v>
      </c>
    </row>
    <row r="3" spans="1:2" x14ac:dyDescent="0.25">
      <c r="A3" t="s">
        <v>60</v>
      </c>
      <c r="B3" t="s">
        <v>60</v>
      </c>
    </row>
    <row r="4" spans="1:2" x14ac:dyDescent="0.25">
      <c r="A4" t="s">
        <v>61</v>
      </c>
      <c r="B4" t="s">
        <v>61</v>
      </c>
    </row>
    <row r="5" spans="1:2" x14ac:dyDescent="0.25">
      <c r="A5" t="s">
        <v>62</v>
      </c>
      <c r="B5" t="s">
        <v>62</v>
      </c>
    </row>
    <row r="6" spans="1:2" x14ac:dyDescent="0.25">
      <c r="A6" t="s">
        <v>63</v>
      </c>
      <c r="B6" t="s">
        <v>63</v>
      </c>
    </row>
    <row r="7" spans="1:2" x14ac:dyDescent="0.25">
      <c r="A7" t="s">
        <v>64</v>
      </c>
      <c r="B7" t="s">
        <v>64</v>
      </c>
    </row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4"/>
  <sheetViews>
    <sheetView zoomScaleNormal="100" workbookViewId="0">
      <selection activeCell="A13" sqref="A13"/>
    </sheetView>
  </sheetViews>
  <sheetFormatPr defaultColWidth="8.7109375" defaultRowHeight="15" x14ac:dyDescent="0.25"/>
  <cols>
    <col min="1" max="2" width="16.85546875" customWidth="1"/>
  </cols>
  <sheetData>
    <row r="1" spans="1:2" x14ac:dyDescent="0.25">
      <c r="A1" s="19" t="s">
        <v>57</v>
      </c>
      <c r="B1" s="19" t="s">
        <v>58</v>
      </c>
    </row>
    <row r="2" spans="1:2" x14ac:dyDescent="0.25">
      <c r="A2" t="s">
        <v>59</v>
      </c>
      <c r="B2" t="s">
        <v>59</v>
      </c>
    </row>
    <row r="3" spans="1:2" x14ac:dyDescent="0.25">
      <c r="A3" t="s">
        <v>65</v>
      </c>
      <c r="B3" t="s">
        <v>65</v>
      </c>
    </row>
    <row r="4" spans="1:2" x14ac:dyDescent="0.25">
      <c r="A4" t="s">
        <v>66</v>
      </c>
      <c r="B4" t="s">
        <v>66</v>
      </c>
    </row>
    <row r="5" spans="1:2" x14ac:dyDescent="0.25">
      <c r="A5" t="s">
        <v>67</v>
      </c>
      <c r="B5" t="s">
        <v>67</v>
      </c>
    </row>
    <row r="6" spans="1:2" x14ac:dyDescent="0.25">
      <c r="A6" t="s">
        <v>68</v>
      </c>
      <c r="B6" t="s">
        <v>68</v>
      </c>
    </row>
    <row r="7" spans="1:2" x14ac:dyDescent="0.25">
      <c r="A7" t="s">
        <v>69</v>
      </c>
      <c r="B7" t="s">
        <v>69</v>
      </c>
    </row>
    <row r="8" spans="1:2" x14ac:dyDescent="0.25">
      <c r="A8" t="s">
        <v>70</v>
      </c>
      <c r="B8" t="s">
        <v>70</v>
      </c>
    </row>
    <row r="9" spans="1:2" x14ac:dyDescent="0.25">
      <c r="A9" t="s">
        <v>61</v>
      </c>
      <c r="B9" t="s">
        <v>61</v>
      </c>
    </row>
    <row r="10" spans="1:2" x14ac:dyDescent="0.25">
      <c r="A10" t="s">
        <v>71</v>
      </c>
      <c r="B10" t="s">
        <v>71</v>
      </c>
    </row>
    <row r="11" spans="1:2" x14ac:dyDescent="0.25">
      <c r="A11" t="s">
        <v>72</v>
      </c>
      <c r="B11" t="s">
        <v>72</v>
      </c>
    </row>
    <row r="12" spans="1:2" x14ac:dyDescent="0.25">
      <c r="A12" t="s">
        <v>73</v>
      </c>
      <c r="B12" t="s">
        <v>73</v>
      </c>
    </row>
    <row r="13" spans="1:2" x14ac:dyDescent="0.25">
      <c r="A13" t="s">
        <v>63</v>
      </c>
      <c r="B13" t="s">
        <v>63</v>
      </c>
    </row>
    <row r="14" spans="1:2" x14ac:dyDescent="0.25">
      <c r="A14" t="s">
        <v>64</v>
      </c>
      <c r="B14" t="s">
        <v>64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Global Simulation Parameters</vt:lpstr>
      <vt:lpstr>Facilities</vt:lpstr>
      <vt:lpstr>Source</vt:lpstr>
      <vt:lpstr>Tank Battery</vt:lpstr>
      <vt:lpstr>Probes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Vora,Prajay</cp:lastModifiedBy>
  <cp:revision>7</cp:revision>
  <dcterms:created xsi:type="dcterms:W3CDTF">2021-02-18T15:05:05Z</dcterms:created>
  <dcterms:modified xsi:type="dcterms:W3CDTF">2023-10-28T20:51:04Z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