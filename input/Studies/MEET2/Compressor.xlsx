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METEC\MEET2_main\input\Studies\MEET2\"/>
    </mc:Choice>
  </mc:AlternateContent>
  <xr:revisionPtr revIDLastSave="0" documentId="13_ncr:1_{C48C04CD-F929-4DC8-A04A-E7D0E82506EC}" xr6:coauthVersionLast="47" xr6:coauthVersionMax="47" xr10:uidLastSave="{00000000-0000-0000-0000-000000000000}"/>
  <bookViews>
    <workbookView xWindow="-110" yWindow="-110" windowWidth="25180" windowHeight="16140" tabRatio="694" xr2:uid="{00000000-000D-0000-FFFF-FFFF00000000}"/>
  </bookViews>
  <sheets>
    <sheet name="Global Simulation Parameters" sheetId="1" r:id="rId1"/>
    <sheet name="Facilities" sheetId="2" r:id="rId2"/>
    <sheet name="Source" sheetId="21" r:id="rId3"/>
    <sheet name="Compressors" sheetId="5" r:id="rId4"/>
    <sheet name="Probes" sheetId="22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3" i="5" l="1"/>
  <c r="V4" i="5"/>
  <c r="V5" i="5"/>
  <c r="V6" i="5"/>
  <c r="V7" i="5"/>
  <c r="V8" i="5"/>
  <c r="V9" i="5"/>
  <c r="V10" i="5"/>
  <c r="V11" i="5"/>
  <c r="V12" i="5"/>
  <c r="V13" i="5"/>
  <c r="V14" i="5"/>
  <c r="U7" i="5"/>
  <c r="U8" i="5"/>
  <c r="U9" i="5"/>
  <c r="U10" i="5"/>
  <c r="U11" i="5"/>
  <c r="U12" i="5"/>
  <c r="U13" i="5"/>
  <c r="U14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U2" i="5"/>
  <c r="V2" i="5"/>
  <c r="Y2" i="5"/>
  <c r="Z2" i="5"/>
  <c r="U3" i="5"/>
  <c r="Y3" i="5"/>
  <c r="Z3" i="5"/>
  <c r="U4" i="5"/>
  <c r="Y4" i="5"/>
  <c r="Z4" i="5"/>
  <c r="U5" i="5"/>
  <c r="Y5" i="5"/>
  <c r="Z5" i="5"/>
  <c r="U6" i="5"/>
  <c r="Y6" i="5"/>
  <c r="Z6" i="5"/>
  <c r="Z7" i="5"/>
  <c r="Y7" i="5"/>
  <c r="B5" i="17" l="1"/>
  <c r="B4" i="17"/>
  <c r="B3" i="17"/>
  <c r="B2" i="17"/>
</calcChain>
</file>

<file path=xl/sharedStrings.xml><?xml version="1.0" encoding="utf-8"?>
<sst xmlns="http://schemas.openxmlformats.org/spreadsheetml/2006/main" count="362" uniqueCount="141">
  <si>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</si>
  <si>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</si>
  <si>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</si>
  <si>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</si>
  <si>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</si>
  <si>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</si>
  <si>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</si>
  <si>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</si>
  <si>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</si>
  <si>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</si>
  <si>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</si>
  <si>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</si>
  <si>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</si>
  <si>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</si>
  <si>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</si>
  <si>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</si>
  <si>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</si>
  <si>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</si>
  <si>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</si>
  <si>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</si>
  <si>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</si>
  <si>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</si>
  <si>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</si>
  <si>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</si>
  <si>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</si>
  <si>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</si>
  <si>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</si>
  <si>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</si>
  <si>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</si>
  <si>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</si>
  <si>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Separators</t>
  </si>
  <si>
    <t>DumpID</t>
  </si>
  <si>
    <t>Dump Time</t>
  </si>
  <si>
    <t>FFDumpService.json</t>
  </si>
  <si>
    <t>Flow Tag</t>
  </si>
  <si>
    <t>Common Headers</t>
  </si>
  <si>
    <t>Component Leak Survey Frequency [days]</t>
  </si>
  <si>
    <t>Flow Gas Composition</t>
  </si>
  <si>
    <t>FFLinks</t>
  </si>
  <si>
    <t>VRUs</t>
  </si>
  <si>
    <t>Flares</t>
  </si>
  <si>
    <t>facility_test</t>
  </si>
  <si>
    <t>Oil Production [bbl/day]</t>
  </si>
  <si>
    <t>Water Production [bbl/day]</t>
  </si>
  <si>
    <t>Gas Production [Mscf/day]</t>
  </si>
  <si>
    <t>W1</t>
  </si>
  <si>
    <t>Probes</t>
  </si>
  <si>
    <t>Probe.json</t>
  </si>
  <si>
    <t>probe1</t>
  </si>
  <si>
    <t>Vapor</t>
  </si>
  <si>
    <t>Source</t>
  </si>
  <si>
    <t>FixedSource.json</t>
  </si>
  <si>
    <t>Average Loading</t>
  </si>
  <si>
    <t>Std Loading</t>
  </si>
  <si>
    <t>Operating Fraction</t>
  </si>
  <si>
    <t>NOP Fraction of NOP/NOD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</si>
  <si>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</si>
  <si>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</si>
  <si>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</si>
  <si>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</si>
  <si>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</si>
  <si>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</si>
  <si>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</si>
  <si>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</si>
  <si>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</si>
  <si>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</si>
  <si>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</si>
  <si>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</si>
  <si>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</si>
  <si>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</si>
  <si>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</si>
  <si>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</si>
  <si>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</si>
  <si>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</si>
  <si>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</si>
  <si>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</si>
  <si>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</si>
  <si>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</si>
  <si>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</si>
  <si>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</si>
  <si>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</si>
  <si>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</si>
  <si>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</si>
  <si>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</si>
  <si>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</si>
  <si>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</si>
  <si>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Factor Tag</t>
  </si>
  <si>
    <t>comp_1</t>
  </si>
  <si>
    <t>Air</t>
  </si>
  <si>
    <t>Turbine</t>
  </si>
  <si>
    <t>Centrifugal</t>
  </si>
  <si>
    <t>Dry</t>
  </si>
  <si>
    <t>Compressor.json</t>
  </si>
  <si>
    <t>Default-LeakGc</t>
  </si>
  <si>
    <t>Engine Efficiency</t>
  </si>
  <si>
    <t>Exhaust Factors</t>
  </si>
  <si>
    <t>Compressor Power [kW]</t>
  </si>
  <si>
    <t>Actuator Type [Gas, Electric, Air]</t>
  </si>
  <si>
    <t>Seal Type [Dry, Wet, Rod Packing]</t>
  </si>
  <si>
    <t>Driver Type [Turbine, 4SLB, 2SLB, 4SRB, Electric]</t>
  </si>
  <si>
    <t>Compressor Type [Centrifugal, Reciprocating, Other]</t>
  </si>
  <si>
    <t>Starter Type [Gas, Electric, Air]</t>
  </si>
  <si>
    <t>Total Duration Lower Limit [hours]</t>
  </si>
  <si>
    <t>Total Duration Upper Limit [hours]</t>
  </si>
  <si>
    <t>comp_2</t>
  </si>
  <si>
    <t>DestEffWithConstruction</t>
  </si>
  <si>
    <t>comp_3</t>
  </si>
  <si>
    <t>comp_4</t>
  </si>
  <si>
    <t>comp_5</t>
  </si>
  <si>
    <t>Leak GC Name</t>
  </si>
  <si>
    <t>Gas</t>
  </si>
  <si>
    <t>ts_compressor</t>
  </si>
  <si>
    <t>Leak Gas Composition</t>
  </si>
  <si>
    <t>input/Studies/MEET2/DeltaHGC.csv</t>
  </si>
  <si>
    <t>Compressor Efficiency</t>
  </si>
  <si>
    <t>Load Condition File</t>
  </si>
  <si>
    <t>Electric</t>
  </si>
  <si>
    <t>DestEff3366</t>
  </si>
  <si>
    <t>DestEff6633</t>
  </si>
  <si>
    <t>DestEffAll25</t>
  </si>
  <si>
    <t>DestEffAll50</t>
  </si>
  <si>
    <t>DestEffAll100</t>
  </si>
  <si>
    <t>DestEffAllIGT</t>
  </si>
  <si>
    <t>Wet</t>
  </si>
  <si>
    <t>Rod Packing</t>
  </si>
  <si>
    <t>4SLB</t>
  </si>
  <si>
    <t>2SLB</t>
  </si>
  <si>
    <t>4SRB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</si>
  <si>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</si>
  <si>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</si>
  <si>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</si>
  <si>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</si>
  <si>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</si>
  <si>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</si>
  <si>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</si>
  <si>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</si>
  <si>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Arthur</t>
  </si>
  <si>
    <t>Facility Type</t>
  </si>
  <si>
    <t>Common</t>
  </si>
  <si>
    <t>VariableDE</t>
  </si>
  <si>
    <t>Crankcase to Exhaust Emissions [Ratio]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</si>
</sst>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 applyAlignment="1">
      <alignment horizontal="center" vertical="top"/>
    </xf>
    <xf numFmtId="0" fontId="1" fillId="3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2" sqref="B2"/>
    </sheetView>
  </sheetViews>
  <sheetFormatPr defaultRowHeight="14.5" x14ac:dyDescent="0.35"/>
  <cols>
    <col min="1" max="1" width="29.453125" bestFit="1" customWidth="1"/>
    <col min="2" max="2" width="58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>
        <v>365</v>
      </c>
    </row>
    <row r="3" spans="1:2" x14ac:dyDescent="0.35">
      <c r="A3" t="s">
        <v>3</v>
      </c>
      <c r="B3">
        <v>2</v>
      </c>
    </row>
    <row r="4" spans="1:2" x14ac:dyDescent="0.35">
      <c r="A4" t="s">
        <v>137</v>
      </c>
      <c r="B4" t="s">
        <v>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8" sqref="D8"/>
    </sheetView>
  </sheetViews>
  <sheetFormatPr defaultRowHeight="14.5" x14ac:dyDescent="0.35"/>
  <cols>
    <col min="1" max="1" width="11.453125" bestFit="1" customWidth="1"/>
    <col min="2" max="2" width="9.54296875" bestFit="1" customWidth="1"/>
    <col min="3" max="3" width="9.81640625" bestFit="1" customWidth="1"/>
    <col min="4" max="4" width="59.453125" bestFit="1" customWidth="1"/>
    <col min="5" max="5" width="11.54296875" bestFit="1" customWidth="1"/>
  </cols>
  <sheetData>
    <row r="1" spans="1:5" s="2" customFormat="1" x14ac:dyDescent="0.35">
      <c r="A1" s="3" t="s">
        <v>4</v>
      </c>
      <c r="B1" s="3" t="s">
        <v>5</v>
      </c>
      <c r="C1" s="3" t="s">
        <v>6</v>
      </c>
      <c r="D1" s="3" t="s">
        <v>112</v>
      </c>
      <c r="E1" s="3" t="s">
        <v>7</v>
      </c>
    </row>
    <row r="2" spans="1:5" x14ac:dyDescent="0.35">
      <c r="A2" t="s">
        <v>41</v>
      </c>
      <c r="B2" s="5">
        <v>0</v>
      </c>
      <c r="C2" s="5">
        <v>0</v>
      </c>
      <c r="D2" t="s">
        <v>113</v>
      </c>
      <c r="E2" t="s">
        <v>21</v>
      </c>
    </row>
    <row r="3" spans="1:5" x14ac:dyDescent="0.35">
      <c r="B3" s="5"/>
      <c r="C3" s="5"/>
    </row>
    <row r="4" spans="1:5" x14ac:dyDescent="0.3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J2"/>
  <sheetViews>
    <sheetView workbookViewId="0">
      <selection activeCell="F18" sqref="F18"/>
    </sheetView>
  </sheetViews>
  <sheetFormatPr defaultColWidth="15.81640625" defaultRowHeight="14.5" x14ac:dyDescent="0.35"/>
  <cols>
    <col min="1" max="1" width="11.453125" bestFit="1" customWidth="1"/>
    <col min="2" max="2" width="16.81640625" bestFit="1" customWidth="1"/>
    <col min="3" max="3" width="7.1796875" bestFit="1" customWidth="1"/>
    <col min="4" max="4" width="8.453125" bestFit="1" customWidth="1"/>
    <col min="5" max="5" width="9.81640625" bestFit="1" customWidth="1"/>
    <col min="6" max="6" width="13.81640625" bestFit="1" customWidth="1"/>
    <col min="7" max="7" width="10.54296875" bestFit="1" customWidth="1"/>
    <col min="8" max="8" width="14.54296875" bestFit="1" customWidth="1"/>
    <col min="9" max="9" width="8.54296875" bestFit="1" customWidth="1"/>
    <col min="10" max="10" width="59.453125" bestFit="1" customWidth="1"/>
  </cols>
  <sheetData>
    <row r="1" spans="1:10" s="9" customFormat="1" ht="43.5" x14ac:dyDescent="0.35">
      <c r="A1" s="8" t="s">
        <v>4</v>
      </c>
      <c r="B1" s="8" t="s">
        <v>7</v>
      </c>
      <c r="C1" s="8" t="s">
        <v>8</v>
      </c>
      <c r="D1" s="8" t="s">
        <v>5</v>
      </c>
      <c r="E1" s="8" t="s">
        <v>6</v>
      </c>
      <c r="F1" s="12" t="s">
        <v>42</v>
      </c>
      <c r="G1" s="12" t="s">
        <v>43</v>
      </c>
      <c r="H1" s="11" t="s">
        <v>44</v>
      </c>
      <c r="I1" s="8" t="s">
        <v>34</v>
      </c>
      <c r="J1" s="8" t="s">
        <v>37</v>
      </c>
    </row>
    <row r="2" spans="1:10" x14ac:dyDescent="0.35">
      <c r="A2" t="s">
        <v>41</v>
      </c>
      <c r="B2" t="s">
        <v>51</v>
      </c>
      <c r="C2" t="s">
        <v>45</v>
      </c>
      <c r="D2">
        <v>0</v>
      </c>
      <c r="E2">
        <v>0</v>
      </c>
      <c r="F2" s="10">
        <v>24</v>
      </c>
      <c r="G2" s="10">
        <v>24</v>
      </c>
      <c r="H2">
        <v>500</v>
      </c>
      <c r="I2" t="s">
        <v>11</v>
      </c>
      <c r="J2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4"/>
  <sheetViews>
    <sheetView topLeftCell="I1" workbookViewId="0">
      <selection activeCell="O19" sqref="O19"/>
    </sheetView>
  </sheetViews>
  <sheetFormatPr defaultColWidth="39.54296875" defaultRowHeight="14.5" x14ac:dyDescent="0.35"/>
  <cols>
    <col min="1" max="1" width="11.453125" bestFit="1" customWidth="1"/>
    <col min="2" max="2" width="9.81640625" bestFit="1" customWidth="1"/>
    <col min="3" max="3" width="32.54296875" bestFit="1" customWidth="1"/>
    <col min="4" max="5" width="17.453125" bestFit="1" customWidth="1"/>
    <col min="6" max="6" width="18" style="4" bestFit="1" customWidth="1"/>
    <col min="7" max="7" width="13.453125" bestFit="1" customWidth="1"/>
    <col min="8" max="8" width="11.1796875" bestFit="1" customWidth="1"/>
    <col min="9" max="9" width="12.7265625" customWidth="1"/>
    <col min="10" max="10" width="22.54296875" customWidth="1"/>
    <col min="11" max="11" width="60.453125" bestFit="1" customWidth="1"/>
    <col min="12" max="12" width="14.7265625" bestFit="1" customWidth="1"/>
    <col min="13" max="13" width="23.453125" bestFit="1" customWidth="1"/>
    <col min="14" max="14" width="16.453125" bestFit="1" customWidth="1"/>
    <col min="15" max="16" width="11.54296875" bestFit="1" customWidth="1"/>
    <col min="17" max="17" width="15.54296875" bestFit="1" customWidth="1"/>
    <col min="18" max="18" width="11.1796875" bestFit="1" customWidth="1"/>
    <col min="19" max="19" width="17.54296875" bestFit="1" customWidth="1"/>
    <col min="20" max="20" width="15" bestFit="1" customWidth="1"/>
    <col min="21" max="21" width="16" customWidth="1"/>
    <col min="22" max="22" width="15.453125" customWidth="1"/>
    <col min="23" max="23" width="29.453125" bestFit="1" customWidth="1"/>
    <col min="24" max="24" width="28.54296875" bestFit="1" customWidth="1"/>
    <col min="25" max="25" width="16" bestFit="1" customWidth="1"/>
    <col min="26" max="27" width="32.453125" bestFit="1" customWidth="1"/>
    <col min="28" max="28" width="24.54296875" bestFit="1" customWidth="1"/>
    <col min="29" max="29" width="24.81640625" bestFit="1" customWidth="1"/>
    <col min="30" max="30" width="21" bestFit="1" customWidth="1"/>
    <col min="31" max="31" width="16.453125" bestFit="1" customWidth="1"/>
    <col min="32" max="32" width="35.81640625" bestFit="1" customWidth="1"/>
    <col min="33" max="33" width="34.453125" bestFit="1" customWidth="1"/>
    <col min="34" max="34" width="34.54296875" bestFit="1" customWidth="1"/>
    <col min="35" max="35" width="30.453125" bestFit="1" customWidth="1"/>
    <col min="36" max="36" width="26.54296875" bestFit="1" customWidth="1"/>
    <col min="37" max="37" width="19.1796875" bestFit="1" customWidth="1"/>
    <col min="38" max="38" width="19.453125" bestFit="1" customWidth="1"/>
    <col min="39" max="39" width="15.1796875" bestFit="1" customWidth="1"/>
    <col min="40" max="40" width="34.453125" bestFit="1" customWidth="1"/>
    <col min="41" max="41" width="32.54296875" bestFit="1" customWidth="1"/>
    <col min="42" max="42" width="33" bestFit="1" customWidth="1"/>
    <col min="43" max="43" width="28.54296875" bestFit="1" customWidth="1"/>
    <col min="44" max="44" width="34.453125" bestFit="1" customWidth="1"/>
    <col min="45" max="45" width="32.81640625" bestFit="1" customWidth="1"/>
    <col min="46" max="46" width="33.1796875" bestFit="1" customWidth="1"/>
    <col min="47" max="47" width="28.81640625" bestFit="1" customWidth="1"/>
    <col min="48" max="51" width="38" bestFit="1" customWidth="1"/>
    <col min="52" max="52" width="16" bestFit="1" customWidth="1"/>
    <col min="53" max="53" width="19.81640625" bestFit="1" customWidth="1"/>
    <col min="54" max="54" width="20.54296875" bestFit="1" customWidth="1"/>
    <col min="55" max="55" width="13.453125" bestFit="1" customWidth="1"/>
  </cols>
  <sheetData>
    <row r="1" spans="1:55" s="28" customFormat="1" ht="72.5" x14ac:dyDescent="0.35">
      <c r="A1" s="8" t="s">
        <v>4</v>
      </c>
      <c r="B1" s="8" t="s">
        <v>8</v>
      </c>
      <c r="C1" s="23" t="s">
        <v>36</v>
      </c>
      <c r="D1" s="23" t="s">
        <v>9</v>
      </c>
      <c r="E1" s="23" t="s">
        <v>10</v>
      </c>
      <c r="F1" s="8" t="s">
        <v>96</v>
      </c>
      <c r="G1" s="18" t="s">
        <v>97</v>
      </c>
      <c r="H1" s="19" t="s">
        <v>99</v>
      </c>
      <c r="I1" s="11" t="s">
        <v>114</v>
      </c>
      <c r="J1" s="11" t="s">
        <v>140</v>
      </c>
      <c r="K1" s="11" t="s">
        <v>115</v>
      </c>
      <c r="L1" s="8" t="s">
        <v>94</v>
      </c>
      <c r="M1" s="8" t="s">
        <v>95</v>
      </c>
      <c r="N1" s="20" t="s">
        <v>100</v>
      </c>
      <c r="O1" s="12" t="s">
        <v>98</v>
      </c>
      <c r="P1" s="21" t="s">
        <v>101</v>
      </c>
      <c r="Q1" s="19" t="s">
        <v>52</v>
      </c>
      <c r="R1" s="19" t="s">
        <v>53</v>
      </c>
      <c r="S1" s="8" t="s">
        <v>54</v>
      </c>
      <c r="T1" s="8" t="s">
        <v>55</v>
      </c>
      <c r="U1" s="22" t="s">
        <v>102</v>
      </c>
      <c r="V1" s="22" t="s">
        <v>103</v>
      </c>
      <c r="W1" s="8" t="s">
        <v>56</v>
      </c>
      <c r="X1" s="8" t="s">
        <v>57</v>
      </c>
      <c r="Y1" s="8" t="s">
        <v>58</v>
      </c>
      <c r="Z1" s="8" t="s">
        <v>59</v>
      </c>
      <c r="AA1" s="24" t="s">
        <v>60</v>
      </c>
      <c r="AB1" s="24" t="s">
        <v>61</v>
      </c>
      <c r="AC1" s="24" t="s">
        <v>62</v>
      </c>
      <c r="AD1" s="24" t="s">
        <v>63</v>
      </c>
      <c r="AE1" s="11" t="s">
        <v>64</v>
      </c>
      <c r="AF1" s="25" t="s">
        <v>65</v>
      </c>
      <c r="AG1" s="24" t="s">
        <v>66</v>
      </c>
      <c r="AH1" s="25" t="s">
        <v>67</v>
      </c>
      <c r="AI1" s="24" t="s">
        <v>68</v>
      </c>
      <c r="AJ1" s="26" t="s">
        <v>69</v>
      </c>
      <c r="AK1" s="26" t="s">
        <v>70</v>
      </c>
      <c r="AL1" s="26" t="s">
        <v>71</v>
      </c>
      <c r="AM1" s="26" t="s">
        <v>72</v>
      </c>
      <c r="AN1" s="24" t="s">
        <v>73</v>
      </c>
      <c r="AO1" s="24" t="s">
        <v>74</v>
      </c>
      <c r="AP1" s="24" t="s">
        <v>75</v>
      </c>
      <c r="AQ1" s="24" t="s">
        <v>76</v>
      </c>
      <c r="AR1" s="27" t="s">
        <v>77</v>
      </c>
      <c r="AS1" s="27" t="s">
        <v>78</v>
      </c>
      <c r="AT1" s="27" t="s">
        <v>79</v>
      </c>
      <c r="AU1" s="27" t="s">
        <v>80</v>
      </c>
      <c r="AV1" s="26" t="s">
        <v>81</v>
      </c>
      <c r="AW1" s="26" t="s">
        <v>82</v>
      </c>
      <c r="AX1" s="26" t="s">
        <v>83</v>
      </c>
      <c r="AY1" s="26" t="s">
        <v>84</v>
      </c>
      <c r="AZ1" s="8" t="s">
        <v>7</v>
      </c>
      <c r="BA1" s="8" t="s">
        <v>109</v>
      </c>
      <c r="BB1" s="8" t="s">
        <v>85</v>
      </c>
      <c r="BC1" s="8" t="s">
        <v>86</v>
      </c>
    </row>
    <row r="2" spans="1:55" x14ac:dyDescent="0.35">
      <c r="A2" t="s">
        <v>41</v>
      </c>
      <c r="B2" t="s">
        <v>87</v>
      </c>
      <c r="C2" s="7">
        <v>365</v>
      </c>
      <c r="D2" s="7">
        <v>750</v>
      </c>
      <c r="E2" s="7">
        <v>0.4</v>
      </c>
      <c r="F2">
        <v>600</v>
      </c>
      <c r="G2" s="4" t="s">
        <v>88</v>
      </c>
      <c r="H2" t="s">
        <v>89</v>
      </c>
      <c r="I2">
        <v>0.7</v>
      </c>
      <c r="J2">
        <v>0.14399999999999999</v>
      </c>
      <c r="L2">
        <v>0.35</v>
      </c>
      <c r="M2" t="s">
        <v>139</v>
      </c>
      <c r="N2" t="s">
        <v>136</v>
      </c>
      <c r="O2" s="4" t="s">
        <v>91</v>
      </c>
      <c r="P2" s="4" t="s">
        <v>110</v>
      </c>
      <c r="Q2">
        <v>0.7</v>
      </c>
      <c r="R2">
        <v>0.05</v>
      </c>
      <c r="S2">
        <v>0.4</v>
      </c>
      <c r="T2">
        <v>0.6</v>
      </c>
      <c r="U2">
        <f>24*21</f>
        <v>504</v>
      </c>
      <c r="V2">
        <f>24*7*6</f>
        <v>1008</v>
      </c>
      <c r="W2">
        <v>300</v>
      </c>
      <c r="X2">
        <v>500</v>
      </c>
      <c r="Y2">
        <f t="shared" ref="Y2:Y14" si="0">60*15</f>
        <v>900</v>
      </c>
      <c r="Z2">
        <f t="shared" ref="Z2:Z14" si="1">ROUND(150*600/14.7,0)</f>
        <v>6122</v>
      </c>
      <c r="AA2" s="14">
        <v>1</v>
      </c>
      <c r="AB2" s="14">
        <v>0</v>
      </c>
      <c r="AC2" s="14">
        <v>4380</v>
      </c>
      <c r="AD2" s="14">
        <v>0.21634999999999999</v>
      </c>
      <c r="AE2" t="b">
        <v>1</v>
      </c>
      <c r="AF2" s="14">
        <v>1</v>
      </c>
      <c r="AG2" s="14">
        <v>0</v>
      </c>
      <c r="AH2" s="14">
        <v>4380</v>
      </c>
      <c r="AI2" s="14">
        <v>8.3141000000000007E-2</v>
      </c>
      <c r="AJ2" s="15">
        <v>1</v>
      </c>
      <c r="AK2" s="15">
        <v>0</v>
      </c>
      <c r="AL2" s="15">
        <v>4380</v>
      </c>
      <c r="AM2" s="15">
        <v>0.47815999999999997</v>
      </c>
      <c r="AN2" s="14">
        <v>1</v>
      </c>
      <c r="AO2" s="14">
        <v>0</v>
      </c>
      <c r="AP2" s="14">
        <v>2920</v>
      </c>
      <c r="AQ2" s="14">
        <v>2.6738E-3</v>
      </c>
      <c r="AR2" s="16">
        <v>1</v>
      </c>
      <c r="AS2" s="16">
        <v>0</v>
      </c>
      <c r="AT2" s="16">
        <v>4380</v>
      </c>
      <c r="AU2" s="16">
        <v>0.11268</v>
      </c>
      <c r="AV2" s="15">
        <v>1</v>
      </c>
      <c r="AW2" s="15">
        <v>0</v>
      </c>
      <c r="AX2" s="15">
        <v>2920</v>
      </c>
      <c r="AY2" s="15">
        <v>2.7855000000000002E-3</v>
      </c>
      <c r="AZ2" t="s">
        <v>92</v>
      </c>
      <c r="BA2" t="s">
        <v>93</v>
      </c>
      <c r="BB2" t="s">
        <v>93</v>
      </c>
      <c r="BC2" t="s">
        <v>111</v>
      </c>
    </row>
    <row r="3" spans="1:55" x14ac:dyDescent="0.35">
      <c r="A3" t="s">
        <v>41</v>
      </c>
      <c r="B3" t="s">
        <v>104</v>
      </c>
      <c r="C3" s="7">
        <v>365</v>
      </c>
      <c r="D3" s="7">
        <v>750</v>
      </c>
      <c r="E3" s="7">
        <v>1.0000000000000001E-5</v>
      </c>
      <c r="F3">
        <v>780</v>
      </c>
      <c r="G3" s="4" t="s">
        <v>116</v>
      </c>
      <c r="H3" t="s">
        <v>125</v>
      </c>
      <c r="I3">
        <v>0.7</v>
      </c>
      <c r="J3">
        <v>0.14399999999999999</v>
      </c>
      <c r="L3">
        <v>0.35</v>
      </c>
      <c r="M3" t="s">
        <v>118</v>
      </c>
      <c r="N3" t="s">
        <v>90</v>
      </c>
      <c r="O3" s="4" t="s">
        <v>123</v>
      </c>
      <c r="P3" s="4" t="s">
        <v>116</v>
      </c>
      <c r="Q3">
        <v>0.8</v>
      </c>
      <c r="R3">
        <v>0.03</v>
      </c>
      <c r="S3">
        <v>0.4</v>
      </c>
      <c r="T3">
        <v>0.6</v>
      </c>
      <c r="U3">
        <f>24*21</f>
        <v>504</v>
      </c>
      <c r="V3">
        <f t="shared" ref="V3:V14" si="2">24*7*6</f>
        <v>1008</v>
      </c>
      <c r="W3">
        <v>300</v>
      </c>
      <c r="X3">
        <v>500</v>
      </c>
      <c r="Y3">
        <f t="shared" si="0"/>
        <v>900</v>
      </c>
      <c r="Z3">
        <f t="shared" si="1"/>
        <v>6122</v>
      </c>
      <c r="AA3" s="14">
        <v>1</v>
      </c>
      <c r="AB3" s="14">
        <v>0</v>
      </c>
      <c r="AC3" s="14">
        <v>4380</v>
      </c>
      <c r="AD3" s="14">
        <v>0.21634999999999999</v>
      </c>
      <c r="AE3" t="b">
        <v>1</v>
      </c>
      <c r="AF3" s="14">
        <v>1</v>
      </c>
      <c r="AG3" s="14">
        <v>0</v>
      </c>
      <c r="AH3" s="14">
        <v>4380</v>
      </c>
      <c r="AI3" s="14">
        <v>8.3141000000000007E-2</v>
      </c>
      <c r="AJ3" s="15">
        <v>1</v>
      </c>
      <c r="AK3" s="15">
        <v>0</v>
      </c>
      <c r="AL3" s="15">
        <v>4380</v>
      </c>
      <c r="AM3" s="15">
        <v>0.47815999999999997</v>
      </c>
      <c r="AN3" s="14">
        <v>1</v>
      </c>
      <c r="AO3" s="14">
        <v>0</v>
      </c>
      <c r="AP3" s="14">
        <v>2920</v>
      </c>
      <c r="AQ3" s="14">
        <v>2.6738E-3</v>
      </c>
      <c r="AR3" s="16">
        <v>1</v>
      </c>
      <c r="AS3" s="16">
        <v>0</v>
      </c>
      <c r="AT3" s="16">
        <v>4380</v>
      </c>
      <c r="AU3" s="16">
        <v>0.11268</v>
      </c>
      <c r="AV3" s="15">
        <v>1</v>
      </c>
      <c r="AW3" s="15">
        <v>0</v>
      </c>
      <c r="AX3" s="15">
        <v>2920</v>
      </c>
      <c r="AY3" s="15">
        <v>2.7855000000000002E-3</v>
      </c>
      <c r="AZ3" t="s">
        <v>92</v>
      </c>
      <c r="BA3" t="s">
        <v>93</v>
      </c>
      <c r="BB3" t="s">
        <v>93</v>
      </c>
      <c r="BC3" t="s">
        <v>111</v>
      </c>
    </row>
    <row r="4" spans="1:55" x14ac:dyDescent="0.35">
      <c r="A4" t="s">
        <v>41</v>
      </c>
      <c r="B4" t="s">
        <v>106</v>
      </c>
      <c r="C4" s="7">
        <v>365</v>
      </c>
      <c r="D4" s="7">
        <v>750</v>
      </c>
      <c r="E4" s="7">
        <v>1.0000000000000001E-5</v>
      </c>
      <c r="F4">
        <v>780</v>
      </c>
      <c r="G4" s="4" t="s">
        <v>110</v>
      </c>
      <c r="H4" t="s">
        <v>126</v>
      </c>
      <c r="I4">
        <v>0.7</v>
      </c>
      <c r="J4">
        <v>0.14399999999999999</v>
      </c>
      <c r="L4">
        <v>0.1</v>
      </c>
      <c r="M4" t="s">
        <v>119</v>
      </c>
      <c r="N4" t="s">
        <v>90</v>
      </c>
      <c r="O4" s="4" t="s">
        <v>124</v>
      </c>
      <c r="P4" s="4" t="s">
        <v>88</v>
      </c>
      <c r="Q4">
        <v>1</v>
      </c>
      <c r="R4">
        <v>0</v>
      </c>
      <c r="S4">
        <v>0.4</v>
      </c>
      <c r="T4">
        <v>0.6</v>
      </c>
      <c r="U4">
        <f>24*21</f>
        <v>504</v>
      </c>
      <c r="V4">
        <f t="shared" si="2"/>
        <v>1008</v>
      </c>
      <c r="W4">
        <v>300</v>
      </c>
      <c r="X4">
        <v>500</v>
      </c>
      <c r="Y4">
        <f t="shared" si="0"/>
        <v>900</v>
      </c>
      <c r="Z4">
        <f t="shared" si="1"/>
        <v>6122</v>
      </c>
      <c r="AA4" s="14">
        <v>1</v>
      </c>
      <c r="AB4" s="14">
        <v>0</v>
      </c>
      <c r="AC4" s="14">
        <v>4380</v>
      </c>
      <c r="AD4" s="14">
        <v>0.21634999999999999</v>
      </c>
      <c r="AE4" t="b">
        <v>1</v>
      </c>
      <c r="AF4" s="14">
        <v>1</v>
      </c>
      <c r="AG4" s="14">
        <v>0</v>
      </c>
      <c r="AH4" s="14">
        <v>4380</v>
      </c>
      <c r="AI4" s="14">
        <v>8.3141000000000007E-2</v>
      </c>
      <c r="AJ4" s="15">
        <v>1</v>
      </c>
      <c r="AK4" s="15">
        <v>0</v>
      </c>
      <c r="AL4" s="15">
        <v>4380</v>
      </c>
      <c r="AM4" s="15">
        <v>0.47815999999999997</v>
      </c>
      <c r="AN4" s="14">
        <v>1</v>
      </c>
      <c r="AO4" s="14">
        <v>0</v>
      </c>
      <c r="AP4" s="14">
        <v>2920</v>
      </c>
      <c r="AQ4" s="14">
        <v>2.6738E-3</v>
      </c>
      <c r="AR4" s="16">
        <v>1</v>
      </c>
      <c r="AS4" s="16">
        <v>0</v>
      </c>
      <c r="AT4" s="16">
        <v>4380</v>
      </c>
      <c r="AU4" s="16">
        <v>0.11268</v>
      </c>
      <c r="AV4" s="15">
        <v>1</v>
      </c>
      <c r="AW4" s="15">
        <v>0</v>
      </c>
      <c r="AX4" s="15">
        <v>2920</v>
      </c>
      <c r="AY4" s="15">
        <v>2.7855000000000002E-3</v>
      </c>
      <c r="AZ4" t="s">
        <v>92</v>
      </c>
      <c r="BA4" t="s">
        <v>93</v>
      </c>
      <c r="BB4" t="s">
        <v>93</v>
      </c>
      <c r="BC4" t="s">
        <v>111</v>
      </c>
    </row>
    <row r="5" spans="1:55" x14ac:dyDescent="0.35">
      <c r="A5" t="s">
        <v>41</v>
      </c>
      <c r="B5" t="s">
        <v>107</v>
      </c>
      <c r="C5" s="7">
        <v>365</v>
      </c>
      <c r="D5" s="7">
        <v>750</v>
      </c>
      <c r="E5" s="7">
        <v>1.0000000000000001E-5</v>
      </c>
      <c r="F5">
        <v>1305</v>
      </c>
      <c r="G5" s="4" t="s">
        <v>88</v>
      </c>
      <c r="H5" t="s">
        <v>127</v>
      </c>
      <c r="I5">
        <v>0.7</v>
      </c>
      <c r="J5">
        <v>0.14399999999999999</v>
      </c>
      <c r="L5">
        <v>0.5</v>
      </c>
      <c r="M5" t="s">
        <v>120</v>
      </c>
      <c r="N5" t="s">
        <v>90</v>
      </c>
      <c r="O5" s="4" t="s">
        <v>91</v>
      </c>
      <c r="P5" s="4" t="s">
        <v>110</v>
      </c>
      <c r="Q5">
        <v>1</v>
      </c>
      <c r="R5">
        <v>0</v>
      </c>
      <c r="S5">
        <v>0.4</v>
      </c>
      <c r="T5">
        <v>0.6</v>
      </c>
      <c r="U5">
        <f>24*21</f>
        <v>504</v>
      </c>
      <c r="V5">
        <f t="shared" si="2"/>
        <v>1008</v>
      </c>
      <c r="W5">
        <v>300</v>
      </c>
      <c r="X5">
        <v>500</v>
      </c>
      <c r="Y5">
        <f t="shared" si="0"/>
        <v>900</v>
      </c>
      <c r="Z5">
        <f t="shared" si="1"/>
        <v>6122</v>
      </c>
      <c r="AA5" s="14">
        <v>1</v>
      </c>
      <c r="AB5" s="14">
        <v>0</v>
      </c>
      <c r="AC5" s="14">
        <v>4380</v>
      </c>
      <c r="AD5" s="14">
        <v>0.21634999999999999</v>
      </c>
      <c r="AE5" t="b">
        <v>1</v>
      </c>
      <c r="AF5" s="14">
        <v>1</v>
      </c>
      <c r="AG5" s="14">
        <v>0</v>
      </c>
      <c r="AH5" s="14">
        <v>4380</v>
      </c>
      <c r="AI5" s="14">
        <v>8.3141000000000007E-2</v>
      </c>
      <c r="AJ5" s="15">
        <v>1</v>
      </c>
      <c r="AK5" s="15">
        <v>0</v>
      </c>
      <c r="AL5" s="15">
        <v>4380</v>
      </c>
      <c r="AM5" s="15">
        <v>0.47815999999999997</v>
      </c>
      <c r="AN5" s="14">
        <v>1</v>
      </c>
      <c r="AO5" s="14">
        <v>0</v>
      </c>
      <c r="AP5" s="14">
        <v>2920</v>
      </c>
      <c r="AQ5" s="14">
        <v>2.6738E-3</v>
      </c>
      <c r="AR5" s="16">
        <v>1</v>
      </c>
      <c r="AS5" s="16">
        <v>0</v>
      </c>
      <c r="AT5" s="16">
        <v>4380</v>
      </c>
      <c r="AU5" s="16">
        <v>0.11268</v>
      </c>
      <c r="AV5" s="15">
        <v>1</v>
      </c>
      <c r="AW5" s="15">
        <v>0</v>
      </c>
      <c r="AX5" s="15">
        <v>2920</v>
      </c>
      <c r="AY5" s="15">
        <v>2.7855000000000002E-3</v>
      </c>
      <c r="AZ5" t="s">
        <v>92</v>
      </c>
      <c r="BA5" t="s">
        <v>93</v>
      </c>
      <c r="BB5" t="s">
        <v>93</v>
      </c>
      <c r="BC5" t="s">
        <v>111</v>
      </c>
    </row>
    <row r="6" spans="1:55" x14ac:dyDescent="0.35">
      <c r="A6" t="s">
        <v>41</v>
      </c>
      <c r="B6" t="s">
        <v>108</v>
      </c>
      <c r="C6" s="7">
        <v>365</v>
      </c>
      <c r="D6" s="7">
        <v>750</v>
      </c>
      <c r="E6" s="7">
        <v>1.0000000000000001E-5</v>
      </c>
      <c r="F6">
        <v>780</v>
      </c>
      <c r="G6" s="4" t="s">
        <v>116</v>
      </c>
      <c r="H6" t="s">
        <v>116</v>
      </c>
      <c r="I6">
        <v>0.7</v>
      </c>
      <c r="J6">
        <v>0.14399999999999999</v>
      </c>
      <c r="L6">
        <v>1</v>
      </c>
      <c r="M6" t="s">
        <v>121</v>
      </c>
      <c r="N6" t="s">
        <v>90</v>
      </c>
      <c r="O6" s="4" t="s">
        <v>123</v>
      </c>
      <c r="P6" s="4" t="s">
        <v>116</v>
      </c>
      <c r="Q6">
        <v>1</v>
      </c>
      <c r="R6">
        <v>0</v>
      </c>
      <c r="S6">
        <v>0.4</v>
      </c>
      <c r="T6">
        <v>0.6</v>
      </c>
      <c r="U6">
        <f>24*21</f>
        <v>504</v>
      </c>
      <c r="V6">
        <f t="shared" si="2"/>
        <v>1008</v>
      </c>
      <c r="W6">
        <v>300</v>
      </c>
      <c r="X6">
        <v>500</v>
      </c>
      <c r="Y6">
        <f t="shared" si="0"/>
        <v>900</v>
      </c>
      <c r="Z6">
        <f t="shared" si="1"/>
        <v>6122</v>
      </c>
      <c r="AA6" s="14">
        <v>1</v>
      </c>
      <c r="AB6" s="14">
        <v>0</v>
      </c>
      <c r="AC6" s="14">
        <v>4380</v>
      </c>
      <c r="AD6" s="14">
        <v>0.21634999999999999</v>
      </c>
      <c r="AE6" t="b">
        <v>1</v>
      </c>
      <c r="AF6" s="14">
        <v>1</v>
      </c>
      <c r="AG6" s="14">
        <v>0</v>
      </c>
      <c r="AH6" s="14">
        <v>4380</v>
      </c>
      <c r="AI6" s="14">
        <v>8.3141000000000007E-2</v>
      </c>
      <c r="AJ6" s="15">
        <v>1</v>
      </c>
      <c r="AK6" s="15">
        <v>0</v>
      </c>
      <c r="AL6" s="15">
        <v>4380</v>
      </c>
      <c r="AM6" s="15">
        <v>0.47815999999999997</v>
      </c>
      <c r="AN6" s="14">
        <v>1</v>
      </c>
      <c r="AO6" s="14">
        <v>0</v>
      </c>
      <c r="AP6" s="14">
        <v>2920</v>
      </c>
      <c r="AQ6" s="14">
        <v>2.6738E-3</v>
      </c>
      <c r="AR6" s="16">
        <v>1</v>
      </c>
      <c r="AS6" s="16">
        <v>0</v>
      </c>
      <c r="AT6" s="16">
        <v>4380</v>
      </c>
      <c r="AU6" s="16">
        <v>0.11268</v>
      </c>
      <c r="AV6" s="15">
        <v>1</v>
      </c>
      <c r="AW6" s="15">
        <v>0</v>
      </c>
      <c r="AX6" s="15">
        <v>2920</v>
      </c>
      <c r="AY6" s="15">
        <v>2.7855000000000002E-3</v>
      </c>
      <c r="AZ6" t="s">
        <v>92</v>
      </c>
      <c r="BA6" t="s">
        <v>93</v>
      </c>
      <c r="BB6" t="s">
        <v>93</v>
      </c>
      <c r="BC6" t="s">
        <v>111</v>
      </c>
    </row>
    <row r="7" spans="1:55" x14ac:dyDescent="0.35">
      <c r="A7" t="s">
        <v>41</v>
      </c>
      <c r="B7" t="s">
        <v>128</v>
      </c>
      <c r="C7" s="7">
        <v>365</v>
      </c>
      <c r="D7" s="7">
        <v>750</v>
      </c>
      <c r="E7" s="7">
        <v>0.4</v>
      </c>
      <c r="F7">
        <v>780</v>
      </c>
      <c r="G7" s="4" t="s">
        <v>110</v>
      </c>
      <c r="H7" t="s">
        <v>89</v>
      </c>
      <c r="I7">
        <v>0.7</v>
      </c>
      <c r="J7">
        <v>0.14399999999999999</v>
      </c>
      <c r="L7">
        <v>0.1</v>
      </c>
      <c r="M7" t="s">
        <v>122</v>
      </c>
      <c r="N7" t="s">
        <v>90</v>
      </c>
      <c r="O7" s="4" t="s">
        <v>124</v>
      </c>
      <c r="P7" s="4" t="s">
        <v>88</v>
      </c>
      <c r="Q7">
        <v>1</v>
      </c>
      <c r="R7">
        <v>0</v>
      </c>
      <c r="S7">
        <v>0.9</v>
      </c>
      <c r="T7">
        <v>0.5</v>
      </c>
      <c r="U7">
        <f t="shared" ref="U7:U14" si="3">24*21</f>
        <v>504</v>
      </c>
      <c r="V7">
        <f t="shared" si="2"/>
        <v>1008</v>
      </c>
      <c r="W7">
        <v>300</v>
      </c>
      <c r="X7">
        <v>500</v>
      </c>
      <c r="Y7">
        <f t="shared" si="0"/>
        <v>900</v>
      </c>
      <c r="Z7">
        <f t="shared" si="1"/>
        <v>6122</v>
      </c>
      <c r="AA7" s="14">
        <v>1</v>
      </c>
      <c r="AB7" s="14">
        <v>0</v>
      </c>
      <c r="AC7" s="14">
        <v>4380</v>
      </c>
      <c r="AD7" s="14">
        <v>0.21634999999999999</v>
      </c>
      <c r="AE7" t="b">
        <v>1</v>
      </c>
      <c r="AF7" s="14">
        <v>1</v>
      </c>
      <c r="AG7" s="14">
        <v>0</v>
      </c>
      <c r="AH7" s="14">
        <v>4380</v>
      </c>
      <c r="AI7" s="14">
        <v>8.3141000000000007E-2</v>
      </c>
      <c r="AJ7" s="15">
        <v>1</v>
      </c>
      <c r="AK7" s="15">
        <v>0</v>
      </c>
      <c r="AL7" s="15">
        <v>4380</v>
      </c>
      <c r="AM7" s="15">
        <v>0.47815999999999997</v>
      </c>
      <c r="AN7" s="14">
        <v>1</v>
      </c>
      <c r="AO7" s="14">
        <v>0</v>
      </c>
      <c r="AP7" s="14">
        <v>2920</v>
      </c>
      <c r="AQ7" s="14">
        <v>2.6738E-3</v>
      </c>
      <c r="AR7" s="16">
        <v>1</v>
      </c>
      <c r="AS7" s="16">
        <v>0</v>
      </c>
      <c r="AT7" s="16">
        <v>4380</v>
      </c>
      <c r="AU7" s="16">
        <v>0.11268</v>
      </c>
      <c r="AV7" s="15">
        <v>1</v>
      </c>
      <c r="AW7" s="15">
        <v>0</v>
      </c>
      <c r="AX7" s="15">
        <v>2920</v>
      </c>
      <c r="AY7" s="15">
        <v>2.7855000000000002E-3</v>
      </c>
      <c r="AZ7" t="s">
        <v>92</v>
      </c>
      <c r="BA7" t="s">
        <v>93</v>
      </c>
      <c r="BB7" t="s">
        <v>93</v>
      </c>
      <c r="BC7" t="s">
        <v>111</v>
      </c>
    </row>
    <row r="8" spans="1:55" x14ac:dyDescent="0.35">
      <c r="A8" t="s">
        <v>41</v>
      </c>
      <c r="B8" t="s">
        <v>129</v>
      </c>
      <c r="C8" s="7">
        <v>365</v>
      </c>
      <c r="D8" s="7">
        <v>750</v>
      </c>
      <c r="E8" s="7">
        <v>1.0000000000000001E-5</v>
      </c>
      <c r="F8">
        <v>780</v>
      </c>
      <c r="G8" s="4" t="s">
        <v>88</v>
      </c>
      <c r="H8" t="s">
        <v>125</v>
      </c>
      <c r="I8">
        <v>0.7</v>
      </c>
      <c r="J8">
        <v>0.14399999999999999</v>
      </c>
      <c r="L8">
        <v>0.35</v>
      </c>
      <c r="M8" t="s">
        <v>105</v>
      </c>
      <c r="N8" t="s">
        <v>90</v>
      </c>
      <c r="O8" s="4" t="s">
        <v>91</v>
      </c>
      <c r="P8" s="4" t="s">
        <v>110</v>
      </c>
      <c r="Q8">
        <v>0.75</v>
      </c>
      <c r="R8">
        <v>0.04</v>
      </c>
      <c r="S8">
        <v>0.8</v>
      </c>
      <c r="T8">
        <v>0.9</v>
      </c>
      <c r="U8">
        <f t="shared" si="3"/>
        <v>504</v>
      </c>
      <c r="V8">
        <f t="shared" si="2"/>
        <v>1008</v>
      </c>
      <c r="W8">
        <v>300</v>
      </c>
      <c r="X8">
        <v>500</v>
      </c>
      <c r="Y8">
        <f t="shared" si="0"/>
        <v>900</v>
      </c>
      <c r="Z8">
        <f t="shared" si="1"/>
        <v>6122</v>
      </c>
      <c r="AA8" s="14">
        <v>1</v>
      </c>
      <c r="AB8" s="14">
        <v>0</v>
      </c>
      <c r="AC8" s="14">
        <v>4380</v>
      </c>
      <c r="AD8" s="14">
        <v>0.21634999999999999</v>
      </c>
      <c r="AE8" t="b">
        <v>1</v>
      </c>
      <c r="AF8" s="14">
        <v>1</v>
      </c>
      <c r="AG8" s="14">
        <v>0</v>
      </c>
      <c r="AH8" s="14">
        <v>4380</v>
      </c>
      <c r="AI8" s="14">
        <v>8.3141000000000007E-2</v>
      </c>
      <c r="AJ8" s="15">
        <v>1</v>
      </c>
      <c r="AK8" s="15">
        <v>0</v>
      </c>
      <c r="AL8" s="15">
        <v>4380</v>
      </c>
      <c r="AM8" s="15">
        <v>0.47815999999999997</v>
      </c>
      <c r="AN8" s="14">
        <v>1</v>
      </c>
      <c r="AO8" s="14">
        <v>0</v>
      </c>
      <c r="AP8" s="14">
        <v>2920</v>
      </c>
      <c r="AQ8" s="14">
        <v>2.6738E-3</v>
      </c>
      <c r="AR8" s="16">
        <v>1</v>
      </c>
      <c r="AS8" s="16">
        <v>0</v>
      </c>
      <c r="AT8" s="16">
        <v>4380</v>
      </c>
      <c r="AU8" s="16">
        <v>0.11268</v>
      </c>
      <c r="AV8" s="15">
        <v>1</v>
      </c>
      <c r="AW8" s="15">
        <v>0</v>
      </c>
      <c r="AX8" s="15">
        <v>2920</v>
      </c>
      <c r="AY8" s="15">
        <v>2.7855000000000002E-3</v>
      </c>
      <c r="AZ8" t="s">
        <v>92</v>
      </c>
      <c r="BA8" t="s">
        <v>93</v>
      </c>
      <c r="BB8" t="s">
        <v>93</v>
      </c>
      <c r="BC8" t="s">
        <v>111</v>
      </c>
    </row>
    <row r="9" spans="1:55" x14ac:dyDescent="0.35">
      <c r="A9" t="s">
        <v>41</v>
      </c>
      <c r="B9" t="s">
        <v>130</v>
      </c>
      <c r="C9" s="7">
        <v>365</v>
      </c>
      <c r="D9" s="7">
        <v>750</v>
      </c>
      <c r="E9" s="7">
        <v>1.0000000000000001E-5</v>
      </c>
      <c r="F9">
        <v>780</v>
      </c>
      <c r="G9" s="4" t="s">
        <v>116</v>
      </c>
      <c r="H9" t="s">
        <v>126</v>
      </c>
      <c r="I9">
        <v>0.7</v>
      </c>
      <c r="J9">
        <v>0.14399999999999999</v>
      </c>
      <c r="L9">
        <v>0.5</v>
      </c>
      <c r="M9" t="s">
        <v>117</v>
      </c>
      <c r="N9" t="s">
        <v>90</v>
      </c>
      <c r="O9" s="4" t="s">
        <v>123</v>
      </c>
      <c r="P9" s="4" t="s">
        <v>116</v>
      </c>
      <c r="Q9">
        <v>1</v>
      </c>
      <c r="R9">
        <v>0</v>
      </c>
      <c r="S9">
        <v>0.6</v>
      </c>
      <c r="T9">
        <v>0.4</v>
      </c>
      <c r="U9">
        <f t="shared" si="3"/>
        <v>504</v>
      </c>
      <c r="V9">
        <f t="shared" si="2"/>
        <v>1008</v>
      </c>
      <c r="W9">
        <v>300</v>
      </c>
      <c r="X9">
        <v>500</v>
      </c>
      <c r="Y9">
        <f t="shared" si="0"/>
        <v>900</v>
      </c>
      <c r="Z9">
        <f t="shared" si="1"/>
        <v>6122</v>
      </c>
      <c r="AA9" s="14">
        <v>1</v>
      </c>
      <c r="AB9" s="14">
        <v>0</v>
      </c>
      <c r="AC9" s="14">
        <v>4380</v>
      </c>
      <c r="AD9" s="14">
        <v>0.21634999999999999</v>
      </c>
      <c r="AE9" t="b">
        <v>1</v>
      </c>
      <c r="AF9" s="14">
        <v>1</v>
      </c>
      <c r="AG9" s="14">
        <v>0</v>
      </c>
      <c r="AH9" s="14">
        <v>4380</v>
      </c>
      <c r="AI9" s="14">
        <v>8.3141000000000007E-2</v>
      </c>
      <c r="AJ9" s="15">
        <v>1</v>
      </c>
      <c r="AK9" s="15">
        <v>0</v>
      </c>
      <c r="AL9" s="15">
        <v>4380</v>
      </c>
      <c r="AM9" s="15">
        <v>0.47815999999999997</v>
      </c>
      <c r="AN9" s="14">
        <v>1</v>
      </c>
      <c r="AO9" s="14">
        <v>0</v>
      </c>
      <c r="AP9" s="14">
        <v>2920</v>
      </c>
      <c r="AQ9" s="14">
        <v>2.6738E-3</v>
      </c>
      <c r="AR9" s="16">
        <v>1</v>
      </c>
      <c r="AS9" s="16">
        <v>0</v>
      </c>
      <c r="AT9" s="16">
        <v>4380</v>
      </c>
      <c r="AU9" s="16">
        <v>0.11268</v>
      </c>
      <c r="AV9" s="15">
        <v>1</v>
      </c>
      <c r="AW9" s="15">
        <v>0</v>
      </c>
      <c r="AX9" s="15">
        <v>2920</v>
      </c>
      <c r="AY9" s="15">
        <v>2.7855000000000002E-3</v>
      </c>
      <c r="AZ9" t="s">
        <v>92</v>
      </c>
      <c r="BA9" t="s">
        <v>93</v>
      </c>
      <c r="BB9" t="s">
        <v>93</v>
      </c>
      <c r="BC9" t="s">
        <v>111</v>
      </c>
    </row>
    <row r="10" spans="1:55" x14ac:dyDescent="0.35">
      <c r="A10" t="s">
        <v>41</v>
      </c>
      <c r="B10" t="s">
        <v>131</v>
      </c>
      <c r="C10" s="7">
        <v>365</v>
      </c>
      <c r="D10" s="7">
        <v>750</v>
      </c>
      <c r="E10" s="7">
        <v>1.0000000000000001E-5</v>
      </c>
      <c r="F10">
        <v>780</v>
      </c>
      <c r="G10" s="4" t="s">
        <v>110</v>
      </c>
      <c r="H10" t="s">
        <v>127</v>
      </c>
      <c r="I10">
        <v>0.7</v>
      </c>
      <c r="J10">
        <v>0.14399999999999999</v>
      </c>
      <c r="L10">
        <v>1</v>
      </c>
      <c r="M10" t="s">
        <v>118</v>
      </c>
      <c r="N10" t="s">
        <v>90</v>
      </c>
      <c r="O10" s="4" t="s">
        <v>124</v>
      </c>
      <c r="P10" s="4" t="s">
        <v>88</v>
      </c>
      <c r="Q10">
        <v>1</v>
      </c>
      <c r="R10">
        <v>0</v>
      </c>
      <c r="S10">
        <v>0.6</v>
      </c>
      <c r="T10">
        <v>0.01</v>
      </c>
      <c r="U10">
        <f t="shared" si="3"/>
        <v>504</v>
      </c>
      <c r="V10">
        <f t="shared" si="2"/>
        <v>1008</v>
      </c>
      <c r="W10">
        <v>300</v>
      </c>
      <c r="X10">
        <v>500</v>
      </c>
      <c r="Y10">
        <f t="shared" si="0"/>
        <v>900</v>
      </c>
      <c r="Z10">
        <f t="shared" si="1"/>
        <v>6122</v>
      </c>
      <c r="AA10" s="14">
        <v>1</v>
      </c>
      <c r="AB10" s="14">
        <v>0</v>
      </c>
      <c r="AC10" s="14">
        <v>4380</v>
      </c>
      <c r="AD10" s="14">
        <v>0.21634999999999999</v>
      </c>
      <c r="AE10" t="b">
        <v>1</v>
      </c>
      <c r="AF10" s="14">
        <v>1</v>
      </c>
      <c r="AG10" s="14">
        <v>0</v>
      </c>
      <c r="AH10" s="14">
        <v>4380</v>
      </c>
      <c r="AI10" s="14">
        <v>8.3141000000000007E-2</v>
      </c>
      <c r="AJ10" s="15">
        <v>1</v>
      </c>
      <c r="AK10" s="15">
        <v>0</v>
      </c>
      <c r="AL10" s="15">
        <v>4380</v>
      </c>
      <c r="AM10" s="15">
        <v>0.47815999999999997</v>
      </c>
      <c r="AN10" s="14">
        <v>1</v>
      </c>
      <c r="AO10" s="14">
        <v>0</v>
      </c>
      <c r="AP10" s="14">
        <v>2920</v>
      </c>
      <c r="AQ10" s="14">
        <v>2.6738E-3</v>
      </c>
      <c r="AR10" s="16">
        <v>1</v>
      </c>
      <c r="AS10" s="16">
        <v>0</v>
      </c>
      <c r="AT10" s="16">
        <v>4380</v>
      </c>
      <c r="AU10" s="16">
        <v>0.11268</v>
      </c>
      <c r="AV10" s="15">
        <v>1</v>
      </c>
      <c r="AW10" s="15">
        <v>0</v>
      </c>
      <c r="AX10" s="15">
        <v>2920</v>
      </c>
      <c r="AY10" s="15">
        <v>2.7855000000000002E-3</v>
      </c>
      <c r="AZ10" t="s">
        <v>92</v>
      </c>
      <c r="BA10" t="s">
        <v>93</v>
      </c>
      <c r="BB10" t="s">
        <v>93</v>
      </c>
      <c r="BC10" t="s">
        <v>111</v>
      </c>
    </row>
    <row r="11" spans="1:55" x14ac:dyDescent="0.35">
      <c r="A11" t="s">
        <v>41</v>
      </c>
      <c r="B11" t="s">
        <v>132</v>
      </c>
      <c r="C11" s="7">
        <v>365</v>
      </c>
      <c r="D11" s="7">
        <v>750</v>
      </c>
      <c r="E11" s="7">
        <v>1.0000000000000001E-5</v>
      </c>
      <c r="F11">
        <v>780</v>
      </c>
      <c r="G11" s="4" t="s">
        <v>88</v>
      </c>
      <c r="H11" t="s">
        <v>116</v>
      </c>
      <c r="I11">
        <v>0.7</v>
      </c>
      <c r="J11">
        <v>0.14399999999999999</v>
      </c>
      <c r="L11">
        <v>0.1</v>
      </c>
      <c r="M11" t="s">
        <v>119</v>
      </c>
      <c r="N11" t="s">
        <v>90</v>
      </c>
      <c r="O11" s="4" t="s">
        <v>91</v>
      </c>
      <c r="P11" s="4" t="s">
        <v>110</v>
      </c>
      <c r="Q11">
        <v>1</v>
      </c>
      <c r="R11">
        <v>0</v>
      </c>
      <c r="S11">
        <v>0.7</v>
      </c>
      <c r="T11">
        <v>0.8</v>
      </c>
      <c r="U11">
        <f t="shared" si="3"/>
        <v>504</v>
      </c>
      <c r="V11">
        <f t="shared" si="2"/>
        <v>1008</v>
      </c>
      <c r="W11">
        <v>300</v>
      </c>
      <c r="X11">
        <v>500</v>
      </c>
      <c r="Y11">
        <f t="shared" si="0"/>
        <v>900</v>
      </c>
      <c r="Z11">
        <f t="shared" si="1"/>
        <v>6122</v>
      </c>
      <c r="AA11" s="14">
        <v>1</v>
      </c>
      <c r="AB11" s="14">
        <v>0</v>
      </c>
      <c r="AC11" s="14">
        <v>4380</v>
      </c>
      <c r="AD11" s="14">
        <v>0.21634999999999999</v>
      </c>
      <c r="AE11" t="b">
        <v>1</v>
      </c>
      <c r="AF11" s="14">
        <v>1</v>
      </c>
      <c r="AG11" s="14">
        <v>0</v>
      </c>
      <c r="AH11" s="14">
        <v>4380</v>
      </c>
      <c r="AI11" s="14">
        <v>8.3141000000000007E-2</v>
      </c>
      <c r="AJ11" s="15">
        <v>1</v>
      </c>
      <c r="AK11" s="15">
        <v>0</v>
      </c>
      <c r="AL11" s="15">
        <v>4380</v>
      </c>
      <c r="AM11" s="15">
        <v>0.47815999999999997</v>
      </c>
      <c r="AN11" s="14">
        <v>1</v>
      </c>
      <c r="AO11" s="14">
        <v>0</v>
      </c>
      <c r="AP11" s="14">
        <v>2920</v>
      </c>
      <c r="AQ11" s="14">
        <v>2.6738E-3</v>
      </c>
      <c r="AR11" s="16">
        <v>1</v>
      </c>
      <c r="AS11" s="16">
        <v>0</v>
      </c>
      <c r="AT11" s="16">
        <v>4380</v>
      </c>
      <c r="AU11" s="16">
        <v>0.11268</v>
      </c>
      <c r="AV11" s="15">
        <v>1</v>
      </c>
      <c r="AW11" s="15">
        <v>0</v>
      </c>
      <c r="AX11" s="15">
        <v>2920</v>
      </c>
      <c r="AY11" s="15">
        <v>2.7855000000000002E-3</v>
      </c>
      <c r="AZ11" t="s">
        <v>92</v>
      </c>
      <c r="BA11" t="s">
        <v>93</v>
      </c>
      <c r="BB11" t="s">
        <v>93</v>
      </c>
      <c r="BC11" t="s">
        <v>111</v>
      </c>
    </row>
    <row r="12" spans="1:55" x14ac:dyDescent="0.35">
      <c r="A12" t="s">
        <v>41</v>
      </c>
      <c r="B12" t="s">
        <v>133</v>
      </c>
      <c r="C12" s="7">
        <v>365</v>
      </c>
      <c r="D12" s="7">
        <v>750</v>
      </c>
      <c r="E12" s="7">
        <v>1.0000000000000001E-5</v>
      </c>
      <c r="F12">
        <v>780</v>
      </c>
      <c r="G12" s="4" t="s">
        <v>116</v>
      </c>
      <c r="H12" t="s">
        <v>89</v>
      </c>
      <c r="I12">
        <v>0.7</v>
      </c>
      <c r="J12">
        <v>0.14399999999999999</v>
      </c>
      <c r="L12">
        <v>0.35</v>
      </c>
      <c r="M12" t="s">
        <v>120</v>
      </c>
      <c r="N12" t="s">
        <v>90</v>
      </c>
      <c r="O12" s="4" t="s">
        <v>123</v>
      </c>
      <c r="P12" s="4" t="s">
        <v>116</v>
      </c>
      <c r="Q12">
        <v>1</v>
      </c>
      <c r="R12">
        <v>0</v>
      </c>
      <c r="S12">
        <v>0.8</v>
      </c>
      <c r="T12">
        <v>0.9</v>
      </c>
      <c r="U12">
        <f t="shared" si="3"/>
        <v>504</v>
      </c>
      <c r="V12">
        <f t="shared" si="2"/>
        <v>1008</v>
      </c>
      <c r="W12">
        <v>300</v>
      </c>
      <c r="X12">
        <v>500</v>
      </c>
      <c r="Y12">
        <f t="shared" si="0"/>
        <v>900</v>
      </c>
      <c r="Z12">
        <f t="shared" si="1"/>
        <v>6122</v>
      </c>
      <c r="AA12" s="14">
        <v>1</v>
      </c>
      <c r="AB12" s="14">
        <v>0</v>
      </c>
      <c r="AC12" s="14">
        <v>4380</v>
      </c>
      <c r="AD12" s="14">
        <v>0.21634999999999999</v>
      </c>
      <c r="AE12" t="b">
        <v>1</v>
      </c>
      <c r="AF12" s="14">
        <v>1</v>
      </c>
      <c r="AG12" s="14">
        <v>0</v>
      </c>
      <c r="AH12" s="14">
        <v>4380</v>
      </c>
      <c r="AI12" s="14">
        <v>8.3141000000000007E-2</v>
      </c>
      <c r="AJ12" s="15">
        <v>1</v>
      </c>
      <c r="AK12" s="15">
        <v>0</v>
      </c>
      <c r="AL12" s="15">
        <v>4380</v>
      </c>
      <c r="AM12" s="15">
        <v>0.47815999999999997</v>
      </c>
      <c r="AN12" s="14">
        <v>1</v>
      </c>
      <c r="AO12" s="14">
        <v>0</v>
      </c>
      <c r="AP12" s="14">
        <v>2920</v>
      </c>
      <c r="AQ12" s="14">
        <v>2.6738E-3</v>
      </c>
      <c r="AR12" s="16">
        <v>1</v>
      </c>
      <c r="AS12" s="16">
        <v>0</v>
      </c>
      <c r="AT12" s="16">
        <v>4380</v>
      </c>
      <c r="AU12" s="16">
        <v>0.11268</v>
      </c>
      <c r="AV12" s="15">
        <v>1</v>
      </c>
      <c r="AW12" s="15">
        <v>0</v>
      </c>
      <c r="AX12" s="15">
        <v>2920</v>
      </c>
      <c r="AY12" s="15">
        <v>2.7855000000000002E-3</v>
      </c>
      <c r="AZ12" t="s">
        <v>92</v>
      </c>
      <c r="BA12" t="s">
        <v>93</v>
      </c>
      <c r="BB12" t="s">
        <v>93</v>
      </c>
      <c r="BC12" t="s">
        <v>111</v>
      </c>
    </row>
    <row r="13" spans="1:55" x14ac:dyDescent="0.35">
      <c r="A13" t="s">
        <v>41</v>
      </c>
      <c r="B13" t="s">
        <v>134</v>
      </c>
      <c r="C13" s="7">
        <v>365</v>
      </c>
      <c r="D13" s="7">
        <v>750</v>
      </c>
      <c r="E13" s="7">
        <v>1.0000000000000001E-5</v>
      </c>
      <c r="F13">
        <v>780</v>
      </c>
      <c r="G13" s="4" t="s">
        <v>110</v>
      </c>
      <c r="H13" t="s">
        <v>125</v>
      </c>
      <c r="I13">
        <v>0.7</v>
      </c>
      <c r="J13">
        <v>0.14399999999999999</v>
      </c>
      <c r="L13">
        <v>0.5</v>
      </c>
      <c r="M13" t="s">
        <v>121</v>
      </c>
      <c r="N13" t="s">
        <v>90</v>
      </c>
      <c r="O13" s="4" t="s">
        <v>124</v>
      </c>
      <c r="P13" s="4" t="s">
        <v>88</v>
      </c>
      <c r="Q13">
        <v>1</v>
      </c>
      <c r="R13">
        <v>0</v>
      </c>
      <c r="S13">
        <v>0.5</v>
      </c>
      <c r="T13">
        <v>1</v>
      </c>
      <c r="U13">
        <f t="shared" si="3"/>
        <v>504</v>
      </c>
      <c r="V13">
        <f t="shared" si="2"/>
        <v>1008</v>
      </c>
      <c r="W13">
        <v>300</v>
      </c>
      <c r="X13">
        <v>500</v>
      </c>
      <c r="Y13">
        <f t="shared" si="0"/>
        <v>900</v>
      </c>
      <c r="Z13">
        <f t="shared" si="1"/>
        <v>6122</v>
      </c>
      <c r="AA13" s="14">
        <v>1</v>
      </c>
      <c r="AB13" s="14">
        <v>0</v>
      </c>
      <c r="AC13" s="14">
        <v>4380</v>
      </c>
      <c r="AD13" s="14">
        <v>0.21634999999999999</v>
      </c>
      <c r="AE13" t="b">
        <v>1</v>
      </c>
      <c r="AF13" s="14">
        <v>1</v>
      </c>
      <c r="AG13" s="14">
        <v>0</v>
      </c>
      <c r="AH13" s="14">
        <v>4380</v>
      </c>
      <c r="AI13" s="14">
        <v>8.3141000000000007E-2</v>
      </c>
      <c r="AJ13" s="15">
        <v>1</v>
      </c>
      <c r="AK13" s="15">
        <v>0</v>
      </c>
      <c r="AL13" s="15">
        <v>4380</v>
      </c>
      <c r="AM13" s="15">
        <v>0.47815999999999997</v>
      </c>
      <c r="AN13" s="14">
        <v>1</v>
      </c>
      <c r="AO13" s="14">
        <v>0</v>
      </c>
      <c r="AP13" s="14">
        <v>2920</v>
      </c>
      <c r="AQ13" s="14">
        <v>2.6738E-3</v>
      </c>
      <c r="AR13" s="16">
        <v>1</v>
      </c>
      <c r="AS13" s="16">
        <v>0</v>
      </c>
      <c r="AT13" s="16">
        <v>4380</v>
      </c>
      <c r="AU13" s="16">
        <v>0.11268</v>
      </c>
      <c r="AV13" s="15">
        <v>1</v>
      </c>
      <c r="AW13" s="15">
        <v>0</v>
      </c>
      <c r="AX13" s="15">
        <v>2920</v>
      </c>
      <c r="AY13" s="15">
        <v>2.7855000000000002E-3</v>
      </c>
      <c r="AZ13" t="s">
        <v>92</v>
      </c>
      <c r="BA13" t="s">
        <v>93</v>
      </c>
      <c r="BB13" t="s">
        <v>93</v>
      </c>
      <c r="BC13" t="s">
        <v>111</v>
      </c>
    </row>
    <row r="14" spans="1:55" x14ac:dyDescent="0.35">
      <c r="A14" t="s">
        <v>41</v>
      </c>
      <c r="B14" t="s">
        <v>135</v>
      </c>
      <c r="C14" s="7">
        <v>365</v>
      </c>
      <c r="D14" s="7">
        <v>750</v>
      </c>
      <c r="E14" s="7">
        <v>1.0000000000000001E-5</v>
      </c>
      <c r="F14">
        <v>780</v>
      </c>
      <c r="G14" s="4" t="s">
        <v>88</v>
      </c>
      <c r="H14" t="s">
        <v>126</v>
      </c>
      <c r="I14">
        <v>0.7</v>
      </c>
      <c r="J14">
        <v>0.14399999999999999</v>
      </c>
      <c r="L14">
        <v>1</v>
      </c>
      <c r="M14" t="s">
        <v>122</v>
      </c>
      <c r="N14" t="s">
        <v>90</v>
      </c>
      <c r="O14" s="4" t="s">
        <v>91</v>
      </c>
      <c r="P14" s="4" t="s">
        <v>110</v>
      </c>
      <c r="Q14">
        <v>1</v>
      </c>
      <c r="R14">
        <v>0</v>
      </c>
      <c r="S14">
        <v>0.3</v>
      </c>
      <c r="T14">
        <v>1</v>
      </c>
      <c r="U14">
        <f t="shared" si="3"/>
        <v>504</v>
      </c>
      <c r="V14">
        <f t="shared" si="2"/>
        <v>1008</v>
      </c>
      <c r="W14">
        <v>300</v>
      </c>
      <c r="X14">
        <v>500</v>
      </c>
      <c r="Y14">
        <f t="shared" si="0"/>
        <v>900</v>
      </c>
      <c r="Z14">
        <f t="shared" si="1"/>
        <v>6122</v>
      </c>
      <c r="AA14" s="14">
        <v>1</v>
      </c>
      <c r="AB14" s="14">
        <v>0</v>
      </c>
      <c r="AC14" s="14">
        <v>4380</v>
      </c>
      <c r="AD14" s="14">
        <v>0.21634999999999999</v>
      </c>
      <c r="AE14" t="b">
        <v>1</v>
      </c>
      <c r="AF14" s="14">
        <v>1</v>
      </c>
      <c r="AG14" s="14">
        <v>0</v>
      </c>
      <c r="AH14" s="14">
        <v>4380</v>
      </c>
      <c r="AI14" s="14">
        <v>8.3141000000000007E-2</v>
      </c>
      <c r="AJ14" s="15">
        <v>1</v>
      </c>
      <c r="AK14" s="15">
        <v>0</v>
      </c>
      <c r="AL14" s="15">
        <v>4380</v>
      </c>
      <c r="AM14" s="15">
        <v>0.47815999999999997</v>
      </c>
      <c r="AN14" s="14">
        <v>1</v>
      </c>
      <c r="AO14" s="14">
        <v>0</v>
      </c>
      <c r="AP14" s="14">
        <v>2920</v>
      </c>
      <c r="AQ14" s="14">
        <v>2.6738E-3</v>
      </c>
      <c r="AR14" s="16">
        <v>1</v>
      </c>
      <c r="AS14" s="16">
        <v>0</v>
      </c>
      <c r="AT14" s="16">
        <v>4380</v>
      </c>
      <c r="AU14" s="16">
        <v>0.11268</v>
      </c>
      <c r="AV14" s="15">
        <v>1</v>
      </c>
      <c r="AW14" s="15">
        <v>0</v>
      </c>
      <c r="AX14" s="15">
        <v>2920</v>
      </c>
      <c r="AY14" s="15">
        <v>2.7855000000000002E-3</v>
      </c>
      <c r="AZ14" t="s">
        <v>92</v>
      </c>
      <c r="BA14" t="s">
        <v>93</v>
      </c>
      <c r="BB14" t="s">
        <v>93</v>
      </c>
      <c r="BC14" t="s">
        <v>111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F24" sqref="F24"/>
    </sheetView>
  </sheetViews>
  <sheetFormatPr defaultRowHeight="14.5" x14ac:dyDescent="0.35"/>
  <cols>
    <col min="1" max="1" width="10.54296875" bestFit="1" customWidth="1"/>
    <col min="2" max="2" width="11.453125" bestFit="1" customWidth="1"/>
    <col min="3" max="3" width="7.453125" bestFit="1" customWidth="1"/>
  </cols>
  <sheetData>
    <row r="1" spans="1:3" x14ac:dyDescent="0.35">
      <c r="A1" s="13" t="s">
        <v>7</v>
      </c>
      <c r="B1" s="8" t="s">
        <v>4</v>
      </c>
      <c r="C1" s="8" t="s">
        <v>8</v>
      </c>
    </row>
    <row r="2" spans="1:3" x14ac:dyDescent="0.35">
      <c r="A2" t="s">
        <v>47</v>
      </c>
      <c r="B2" t="s">
        <v>41</v>
      </c>
      <c r="C2" t="s">
        <v>48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1"/>
  <sheetViews>
    <sheetView workbookViewId="0">
      <selection activeCell="D32" sqref="D32"/>
    </sheetView>
  </sheetViews>
  <sheetFormatPr defaultRowHeight="14.5" x14ac:dyDescent="0.35"/>
  <cols>
    <col min="1" max="1" width="10.81640625" bestFit="1" customWidth="1"/>
    <col min="2" max="2" width="15.453125" bestFit="1" customWidth="1"/>
    <col min="3" max="3" width="18.54296875" bestFit="1" customWidth="1"/>
    <col min="4" max="4" width="13.81640625" bestFit="1" customWidth="1"/>
    <col min="5" max="5" width="21.453125" bestFit="1" customWidth="1"/>
    <col min="6" max="6" width="11.54296875" bestFit="1" customWidth="1"/>
    <col min="7" max="7" width="20.1796875" bestFit="1" customWidth="1"/>
  </cols>
  <sheetData>
    <row r="1" spans="1:7" x14ac:dyDescent="0.3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6" t="s">
        <v>27</v>
      </c>
      <c r="G1" s="6" t="s">
        <v>28</v>
      </c>
    </row>
    <row r="2" spans="1:7" x14ac:dyDescent="0.35">
      <c r="A2" t="s">
        <v>29</v>
      </c>
      <c r="B2" t="s">
        <v>41</v>
      </c>
      <c r="C2" t="s">
        <v>45</v>
      </c>
      <c r="D2" t="s">
        <v>41</v>
      </c>
      <c r="E2" t="s">
        <v>87</v>
      </c>
      <c r="F2" t="s">
        <v>49</v>
      </c>
      <c r="G2" s="17"/>
    </row>
    <row r="3" spans="1:7" x14ac:dyDescent="0.35">
      <c r="A3" t="s">
        <v>29</v>
      </c>
      <c r="B3" t="s">
        <v>41</v>
      </c>
      <c r="C3" t="s">
        <v>87</v>
      </c>
      <c r="D3" t="s">
        <v>41</v>
      </c>
      <c r="E3" t="s">
        <v>48</v>
      </c>
      <c r="F3" t="s">
        <v>49</v>
      </c>
    </row>
    <row r="4" spans="1:7" x14ac:dyDescent="0.35">
      <c r="A4" t="s">
        <v>29</v>
      </c>
      <c r="B4" t="s">
        <v>41</v>
      </c>
      <c r="C4" t="s">
        <v>45</v>
      </c>
      <c r="D4" t="s">
        <v>41</v>
      </c>
      <c r="E4" t="s">
        <v>104</v>
      </c>
      <c r="F4" t="s">
        <v>49</v>
      </c>
    </row>
    <row r="5" spans="1:7" x14ac:dyDescent="0.35">
      <c r="A5" t="s">
        <v>29</v>
      </c>
      <c r="B5" t="s">
        <v>41</v>
      </c>
      <c r="C5" t="s">
        <v>104</v>
      </c>
      <c r="D5" t="s">
        <v>41</v>
      </c>
      <c r="E5" t="s">
        <v>48</v>
      </c>
      <c r="F5" t="s">
        <v>49</v>
      </c>
    </row>
    <row r="6" spans="1:7" x14ac:dyDescent="0.35">
      <c r="A6" t="s">
        <v>29</v>
      </c>
      <c r="B6" t="s">
        <v>41</v>
      </c>
      <c r="C6" t="s">
        <v>45</v>
      </c>
      <c r="D6" t="s">
        <v>41</v>
      </c>
      <c r="E6" t="s">
        <v>106</v>
      </c>
      <c r="F6" t="s">
        <v>49</v>
      </c>
    </row>
    <row r="7" spans="1:7" x14ac:dyDescent="0.35">
      <c r="A7" t="s">
        <v>29</v>
      </c>
      <c r="B7" t="s">
        <v>41</v>
      </c>
      <c r="C7" t="s">
        <v>106</v>
      </c>
      <c r="D7" t="s">
        <v>41</v>
      </c>
      <c r="E7" t="s">
        <v>48</v>
      </c>
      <c r="F7" t="s">
        <v>49</v>
      </c>
    </row>
    <row r="8" spans="1:7" x14ac:dyDescent="0.35">
      <c r="A8" t="s">
        <v>29</v>
      </c>
      <c r="B8" t="s">
        <v>41</v>
      </c>
      <c r="C8" t="s">
        <v>45</v>
      </c>
      <c r="D8" t="s">
        <v>41</v>
      </c>
      <c r="E8" t="s">
        <v>107</v>
      </c>
      <c r="F8" t="s">
        <v>49</v>
      </c>
    </row>
    <row r="9" spans="1:7" x14ac:dyDescent="0.35">
      <c r="A9" t="s">
        <v>29</v>
      </c>
      <c r="B9" t="s">
        <v>41</v>
      </c>
      <c r="C9" t="s">
        <v>107</v>
      </c>
      <c r="D9" t="s">
        <v>41</v>
      </c>
      <c r="E9" t="s">
        <v>48</v>
      </c>
      <c r="F9" t="s">
        <v>49</v>
      </c>
    </row>
    <row r="10" spans="1:7" x14ac:dyDescent="0.35">
      <c r="A10" t="s">
        <v>29</v>
      </c>
      <c r="B10" t="s">
        <v>41</v>
      </c>
      <c r="C10" t="s">
        <v>45</v>
      </c>
      <c r="D10" t="s">
        <v>41</v>
      </c>
      <c r="E10" t="s">
        <v>108</v>
      </c>
      <c r="F10" t="s">
        <v>49</v>
      </c>
    </row>
    <row r="11" spans="1:7" x14ac:dyDescent="0.35">
      <c r="A11" t="s">
        <v>29</v>
      </c>
      <c r="B11" t="s">
        <v>41</v>
      </c>
      <c r="C11" t="s">
        <v>108</v>
      </c>
      <c r="D11" t="s">
        <v>41</v>
      </c>
      <c r="E11" t="s">
        <v>48</v>
      </c>
      <c r="F11" t="s">
        <v>49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D12" sqref="D12"/>
    </sheetView>
  </sheetViews>
  <sheetFormatPr defaultRowHeight="14.5" x14ac:dyDescent="0.35"/>
  <cols>
    <col min="1" max="1" width="19.453125" bestFit="1" customWidth="1"/>
    <col min="2" max="2" width="12.453125" bestFit="1" customWidth="1"/>
    <col min="3" max="3" width="11.1796875" bestFit="1" customWidth="1"/>
    <col min="4" max="4" width="86" customWidth="1"/>
  </cols>
  <sheetData>
    <row r="1" spans="1:3" x14ac:dyDescent="0.35">
      <c r="A1" t="s">
        <v>7</v>
      </c>
      <c r="B1" t="s">
        <v>31</v>
      </c>
      <c r="C1" t="s">
        <v>32</v>
      </c>
    </row>
    <row r="2" spans="1:3" x14ac:dyDescent="0.35">
      <c r="A2" t="s">
        <v>33</v>
      </c>
      <c r="B2" t="str">
        <f>"FFDump"&amp;C2</f>
        <v>FFDump500</v>
      </c>
      <c r="C2">
        <v>500</v>
      </c>
    </row>
    <row r="3" spans="1:3" x14ac:dyDescent="0.35">
      <c r="A3" t="s">
        <v>33</v>
      </c>
      <c r="B3" t="str">
        <f>"FFDump"&amp;C3</f>
        <v>FFDump600</v>
      </c>
      <c r="C3">
        <v>600</v>
      </c>
    </row>
    <row r="4" spans="1:3" x14ac:dyDescent="0.35">
      <c r="A4" t="s">
        <v>33</v>
      </c>
      <c r="B4" t="str">
        <f>"FFDump"&amp;C4</f>
        <v>FFDump601</v>
      </c>
      <c r="C4">
        <v>601</v>
      </c>
    </row>
    <row r="5" spans="1:3" x14ac:dyDescent="0.35">
      <c r="A5" t="s">
        <v>33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G20" sqref="G20"/>
    </sheetView>
  </sheetViews>
  <sheetFormatPr defaultRowHeight="14.5" x14ac:dyDescent="0.35"/>
  <cols>
    <col min="1" max="2" width="19.453125" bestFit="1" customWidth="1"/>
  </cols>
  <sheetData>
    <row r="1" spans="1:2" x14ac:dyDescent="0.35">
      <c r="A1" s="1" t="s">
        <v>14</v>
      </c>
      <c r="B1" s="1" t="s">
        <v>15</v>
      </c>
    </row>
    <row r="2" spans="1:2" x14ac:dyDescent="0.35">
      <c r="A2" t="s">
        <v>16</v>
      </c>
      <c r="B2" t="s">
        <v>16</v>
      </c>
    </row>
    <row r="3" spans="1:2" x14ac:dyDescent="0.35">
      <c r="A3" t="s">
        <v>50</v>
      </c>
      <c r="B3" t="s">
        <v>50</v>
      </c>
    </row>
    <row r="4" spans="1:2" x14ac:dyDescent="0.35">
      <c r="A4" t="s">
        <v>19</v>
      </c>
      <c r="B4" t="s">
        <v>19</v>
      </c>
    </row>
    <row r="5" spans="1:2" x14ac:dyDescent="0.35">
      <c r="A5" t="s">
        <v>46</v>
      </c>
      <c r="B5" t="s">
        <v>46</v>
      </c>
    </row>
    <row r="6" spans="1:2" x14ac:dyDescent="0.35">
      <c r="A6" t="s">
        <v>38</v>
      </c>
      <c r="B6" t="s">
        <v>38</v>
      </c>
    </row>
    <row r="7" spans="1:2" x14ac:dyDescent="0.35">
      <c r="A7" t="s">
        <v>22</v>
      </c>
      <c r="B7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4.5" x14ac:dyDescent="0.35"/>
  <cols>
    <col min="1" max="2" width="16.81640625" bestFit="1" customWidth="1"/>
  </cols>
  <sheetData>
    <row r="1" spans="1:2" x14ac:dyDescent="0.35">
      <c r="A1" s="1" t="s">
        <v>14</v>
      </c>
      <c r="B1" s="1" t="s">
        <v>15</v>
      </c>
    </row>
    <row r="2" spans="1:2" x14ac:dyDescent="0.35">
      <c r="A2" t="s">
        <v>16</v>
      </c>
      <c r="B2" t="s">
        <v>16</v>
      </c>
    </row>
    <row r="3" spans="1:2" x14ac:dyDescent="0.35">
      <c r="A3" t="s">
        <v>17</v>
      </c>
      <c r="B3" t="s">
        <v>17</v>
      </c>
    </row>
    <row r="4" spans="1:2" x14ac:dyDescent="0.35">
      <c r="A4" t="s">
        <v>35</v>
      </c>
      <c r="B4" t="s">
        <v>35</v>
      </c>
    </row>
    <row r="5" spans="1:2" x14ac:dyDescent="0.35">
      <c r="A5" t="s">
        <v>30</v>
      </c>
      <c r="B5" t="s">
        <v>30</v>
      </c>
    </row>
    <row r="6" spans="1:2" x14ac:dyDescent="0.35">
      <c r="A6" t="s">
        <v>18</v>
      </c>
      <c r="B6" t="s">
        <v>18</v>
      </c>
    </row>
    <row r="7" spans="1:2" x14ac:dyDescent="0.35">
      <c r="A7" t="s">
        <v>19</v>
      </c>
      <c r="B7" t="s">
        <v>19</v>
      </c>
    </row>
    <row r="8" spans="1:2" x14ac:dyDescent="0.35">
      <c r="A8" t="s">
        <v>12</v>
      </c>
      <c r="B8" t="s">
        <v>12</v>
      </c>
    </row>
    <row r="9" spans="1:2" x14ac:dyDescent="0.35">
      <c r="A9" t="s">
        <v>13</v>
      </c>
      <c r="B9" t="s">
        <v>13</v>
      </c>
    </row>
    <row r="10" spans="1:2" x14ac:dyDescent="0.35">
      <c r="A10" t="s">
        <v>39</v>
      </c>
      <c r="B10" t="s">
        <v>39</v>
      </c>
    </row>
    <row r="11" spans="1:2" x14ac:dyDescent="0.35">
      <c r="A11" t="s">
        <v>40</v>
      </c>
      <c r="B11" t="s">
        <v>40</v>
      </c>
    </row>
    <row r="12" spans="1:2" x14ac:dyDescent="0.35">
      <c r="A12" t="s">
        <v>20</v>
      </c>
      <c r="B12" t="s">
        <v>20</v>
      </c>
    </row>
    <row r="13" spans="1:2" x14ac:dyDescent="0.35">
      <c r="A13" t="s">
        <v>38</v>
      </c>
      <c r="B13" t="s">
        <v>38</v>
      </c>
    </row>
    <row r="14" spans="1:2" x14ac:dyDescent="0.3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Source</vt:lpstr>
      <vt:lpstr>Compressors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2024-10-16T17:57:52Z</dcterms:modified>
</cp:coreProperties>
</file>